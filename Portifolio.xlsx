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Downloads\"/>
    </mc:Choice>
  </mc:AlternateContent>
  <xr:revisionPtr revIDLastSave="0" documentId="13_ncr:1_{EB6C6480-867C-4930-BF75-79EF361EFDA3}" xr6:coauthVersionLast="47" xr6:coauthVersionMax="47" xr10:uidLastSave="{00000000-0000-0000-0000-000000000000}"/>
  <bookViews>
    <workbookView xWindow="-108" yWindow="-108" windowWidth="23256" windowHeight="12456" xr2:uid="{B5D9E45B-8D16-461F-A821-93BE91145450}"/>
  </bookViews>
  <sheets>
    <sheet name="Base" sheetId="1" r:id="rId1"/>
    <sheet name="Resumo_Motorista" sheetId="2" r:id="rId2"/>
    <sheet name="Dinâmica" sheetId="4" r:id="rId3"/>
    <sheet name="Painel" sheetId="7" r:id="rId4"/>
    <sheet name="Dashboard" sheetId="8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6" i="1" l="1"/>
  <c r="J14" i="1"/>
  <c r="J15" i="1"/>
  <c r="J13" i="1"/>
  <c r="I13" i="1" a="1"/>
  <c r="I13" i="1" s="1"/>
  <c r="J9" i="1"/>
  <c r="J10" i="1"/>
  <c r="J8" i="1"/>
  <c r="I8" i="1" a="1"/>
  <c r="I8" i="1" s="1"/>
  <c r="B4" i="7"/>
  <c r="B3" i="7"/>
  <c r="B2" i="7" a="1"/>
  <c r="B2" i="7" s="1"/>
  <c r="D2" i="2"/>
  <c r="B1" i="7"/>
  <c r="D3" i="2"/>
  <c r="D4" i="2"/>
  <c r="D5" i="2"/>
  <c r="D6" i="2"/>
  <c r="D7" i="2"/>
  <c r="D8" i="2"/>
  <c r="C3" i="2"/>
  <c r="C4" i="2"/>
  <c r="C5" i="2"/>
  <c r="C6" i="2"/>
  <c r="C7" i="2"/>
  <c r="C8" i="2"/>
  <c r="C2" i="2"/>
  <c r="B3" i="2"/>
  <c r="B4" i="2"/>
  <c r="B5" i="2"/>
  <c r="B6" i="2"/>
  <c r="B7" i="2"/>
  <c r="B8" i="2"/>
  <c r="B2" i="2"/>
  <c r="A2" i="2" a="1"/>
  <c r="A2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<sst xmlns="http://schemas.openxmlformats.org/spreadsheetml/2006/main" count="554" uniqueCount="38">
  <si>
    <t xml:space="preserve">Data </t>
  </si>
  <si>
    <t>Motorista</t>
  </si>
  <si>
    <t>Cidade</t>
  </si>
  <si>
    <t>Peso(Kg)</t>
  </si>
  <si>
    <t>Frete(R$)</t>
  </si>
  <si>
    <t>Status</t>
  </si>
  <si>
    <t>Roberto</t>
  </si>
  <si>
    <t>Adão</t>
  </si>
  <si>
    <t>Chaga</t>
  </si>
  <si>
    <t>Erisvaldo</t>
  </si>
  <si>
    <t>Emanuel</t>
  </si>
  <si>
    <t>Julio</t>
  </si>
  <si>
    <t>Carlos</t>
  </si>
  <si>
    <t>Barueri</t>
  </si>
  <si>
    <t>São Paulo</t>
  </si>
  <si>
    <t>Jandira</t>
  </si>
  <si>
    <t>Campinas</t>
  </si>
  <si>
    <t>PENDENTE</t>
  </si>
  <si>
    <t>DEVOLVIDO</t>
  </si>
  <si>
    <t>ENTREGUE</t>
  </si>
  <si>
    <t>BARUERI</t>
  </si>
  <si>
    <t>SÃO PAULO</t>
  </si>
  <si>
    <t>JANDIRA</t>
  </si>
  <si>
    <t>CAMPINAS</t>
  </si>
  <si>
    <t>Valor por Kg</t>
  </si>
  <si>
    <t>Total de entregas</t>
  </si>
  <si>
    <t>Total de Frete(R$)</t>
  </si>
  <si>
    <t>Média de Peso(R$)</t>
  </si>
  <si>
    <t>Rótulos de Linha</t>
  </si>
  <si>
    <t>Total Geral</t>
  </si>
  <si>
    <t>Soma de Frete(R$)</t>
  </si>
  <si>
    <t>Cidade Campeã</t>
  </si>
  <si>
    <t>Motorista Destaque</t>
  </si>
  <si>
    <t>Maior Frete(R$)</t>
  </si>
  <si>
    <t>% de Entregas Concluídas</t>
  </si>
  <si>
    <t>Quantidade</t>
  </si>
  <si>
    <t>Receita</t>
  </si>
  <si>
    <t>% acumulada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</si>
</sst>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3" fillId="6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164" fontId="4" fillId="4" borderId="1" xfId="0" applyNumberFormat="1" applyFont="1" applyFill="1" applyBorder="1" applyAlignment="1">
      <alignment horizontal="left" vertical="top"/>
    </xf>
    <xf numFmtId="10" fontId="4" fillId="5" borderId="1" xfId="0" applyNumberFormat="1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6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9" formatCode="dd/mm/yyyy"/>
    </dxf>
  </dxfs>
  <tableStyles count="0" defaultTableStyle="TableStyleMedium2" defaultPivotStyle="PivotStyleLight16"/>
  <colors>
    <mruColors>
      <color rgb="FF0066FF"/>
      <color rgb="FF000000"/>
      <color rgb="FF003300"/>
      <color rgb="FFA50021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Frete</a:t>
            </a:r>
            <a:r>
              <a:rPr lang="en-US" baseline="0">
                <a:solidFill>
                  <a:schemeClr val="bg1"/>
                </a:solidFill>
              </a:rPr>
              <a:t> por Motorista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5687641624542444E-2"/>
          <c:y val="0.17514720689875707"/>
          <c:w val="0.96165243158445179"/>
          <c:h val="0.715683205102081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Resumo_Motorista!$C$1</c:f>
              <c:strCache>
                <c:ptCount val="1"/>
                <c:pt idx="0">
                  <c:v>Total de Frete(R$)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6C3-4A13-B507-C1F975CA5C9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6C3-4A13-B507-C1F975CA5C9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C3-4A13-B507-C1F975CA5C9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6C3-4A13-B507-C1F975CA5C9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C3-4A13-B507-C1F975CA5C9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6C3-4A13-B507-C1F975CA5C9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C3-4A13-B507-C1F975CA5C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Resumo_Motorista!$A$2:$A$8</c:f>
              <c:strCache>
                <c:ptCount val="7"/>
                <c:pt idx="0">
                  <c:v>Roberto</c:v>
                </c:pt>
                <c:pt idx="1">
                  <c:v>Adão</c:v>
                </c:pt>
                <c:pt idx="2">
                  <c:v>Chaga</c:v>
                </c:pt>
                <c:pt idx="3">
                  <c:v>Erisvaldo</c:v>
                </c:pt>
                <c:pt idx="4">
                  <c:v>Emanuel</c:v>
                </c:pt>
                <c:pt idx="5">
                  <c:v>Julio</c:v>
                </c:pt>
                <c:pt idx="6">
                  <c:v>Carlos</c:v>
                </c:pt>
              </c:strCache>
            </c:strRef>
          </c:cat>
          <c:val>
            <c:numRef>
              <c:f>Resumo_Motorista!$C$2:$C$8</c:f>
              <c:numCache>
                <c:formatCode>"R$"\ #,##0.00</c:formatCode>
                <c:ptCount val="7"/>
                <c:pt idx="0">
                  <c:v>6579520</c:v>
                </c:pt>
                <c:pt idx="1">
                  <c:v>7796360</c:v>
                </c:pt>
                <c:pt idx="2">
                  <c:v>7658140</c:v>
                </c:pt>
                <c:pt idx="3">
                  <c:v>6091020</c:v>
                </c:pt>
                <c:pt idx="4">
                  <c:v>7583600</c:v>
                </c:pt>
                <c:pt idx="5">
                  <c:v>5933120</c:v>
                </c:pt>
                <c:pt idx="6">
                  <c:v>7096160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3-4A13-B507-C1F975CA5C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72969967"/>
        <c:axId val="1072960367"/>
      </c:barChart>
      <c:catAx>
        <c:axId val="107296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2960367"/>
        <c:crosses val="autoZero"/>
        <c:auto val="1"/>
        <c:lblAlgn val="ctr"/>
        <c:lblOffset val="100"/>
        <c:noMultiLvlLbl val="0"/>
      </c:catAx>
      <c:valAx>
        <c:axId val="1072960367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7296996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Entregas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Base!$J$7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solidFill>
                <a:schemeClr val="bg1">
                  <a:alpha val="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AF-4E54-AC17-7D9ACE6D76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AF-4E54-AC17-7D9ACE6D76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AF-4E54-AC17-7D9ACE6D76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Base!$I$8:$I$10</c:f>
              <c:strCache>
                <c:ptCount val="3"/>
                <c:pt idx="0">
                  <c:v>PENDENTE</c:v>
                </c:pt>
                <c:pt idx="1">
                  <c:v>DEVOLVIDO</c:v>
                </c:pt>
                <c:pt idx="2">
                  <c:v>ENTREGUE</c:v>
                </c:pt>
              </c:strCache>
            </c:strRef>
          </c:cat>
          <c:val>
            <c:numRef>
              <c:f>Base!$J$8:$J$10</c:f>
              <c:numCache>
                <c:formatCode>General</c:formatCode>
                <c:ptCount val="3"/>
                <c:pt idx="0">
                  <c:v>61</c:v>
                </c:pt>
                <c:pt idx="1">
                  <c:v>52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AF-4E54-AC17-7D9ACE6D7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379730</xdr:colOff>
      <xdr:row>2</xdr:row>
      <xdr:rowOff>61854</xdr:rowOff>
    </xdr:from>
    <xdr:to>
      <xdr:col>12</xdr:col>
      <xdr:colOff>349624</xdr:colOff>
      <xdr:row>20</xdr:row>
      <xdr:rowOff>143435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1C8FC0-FF67-4BAA-92DC-E4F6DC41C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22187</xdr:colOff>
      <xdr:row>2</xdr:row>
      <xdr:rowOff>66253</xdr:rowOff>
    </xdr:from>
    <xdr:to>
      <xdr:col>21</xdr:col>
      <xdr:colOff>268941</xdr:colOff>
      <xdr:row>21</xdr:row>
      <xdr:rowOff>35859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171A3B-B9BA-4F1D-8803-1A9D1F797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damiao" refreshedDate="46143.70369224537" createdVersion="8" refreshedVersion="8" minRefreshableVersion="3" recordCount="174" xr:uid="{0EE6D6AB-83F8-4168-9053-92339FBEDAB8}">
  <cacheSource type="worksheet">
    <worksheetSource name="Tabela2"/>
  </cacheSource>
  <cacheFields count="6">
    <cacheField name="Data " numFmtId="14">
      <sharedItems containsSemiMixedTypes="0" containsNonDate="0" containsDate="1" containsString="0" minDate="2026-01-12T00:00:00" maxDate="2026-04-01T00:00:00"/>
    </cacheField>
    <cacheField name="Motorista" numFmtId="0">
      <sharedItems/>
    </cacheField>
    <cacheField name="Cidade" numFmtId="0">
      <sharedItems count="4">
        <s v="Barueri"/>
        <s v="São Paulo"/>
        <s v="Jandira"/>
        <s v="Campinas"/>
      </sharedItems>
    </cacheField>
    <cacheField name="Peso(Kg)" numFmtId="0">
      <sharedItems containsSemiMixedTypes="0" containsString="0" containsNumber="1" containsInteger="1" minValue="400" maxValue="1198"/>
    </cacheField>
    <cacheField name="Frete(R$)" numFmtId="0">
      <sharedItems containsSemiMixedTypes="0" containsString="0" containsNumber="1" containsInteger="1" minValue="40000" maxValue="8239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d v="2026-02-10T00:00:00"/>
    <s v="Roberto"/>
    <x v="0"/>
    <n v="400"/>
    <n v="40000"/>
    <s v="PENDENTE"/>
  </r>
  <r>
    <d v="2026-02-08T00:00:00"/>
    <s v="Adão"/>
    <x v="1"/>
    <n v="950"/>
    <n v="380000"/>
    <s v="DEVOLVIDO"/>
  </r>
  <r>
    <d v="2026-02-17T00:00:00"/>
    <s v="Roberto"/>
    <x v="0"/>
    <n v="1190"/>
    <n v="119000"/>
    <s v="PENDENTE"/>
  </r>
  <r>
    <d v="2026-02-10T00:00:00"/>
    <s v="Roberto"/>
    <x v="2"/>
    <n v="639"/>
    <n v="76680"/>
    <s v="ENTREGUE"/>
  </r>
  <r>
    <d v="2026-01-15T00:00:00"/>
    <s v="Chaga"/>
    <x v="3"/>
    <n v="456"/>
    <n v="319200"/>
    <s v="DEVOLVIDO"/>
  </r>
  <r>
    <d v="2026-01-13T00:00:00"/>
    <s v="Adão"/>
    <x v="1"/>
    <n v="1112"/>
    <n v="444800"/>
    <s v="PENDENTE"/>
  </r>
  <r>
    <d v="2026-02-08T00:00:00"/>
    <s v="Erisvaldo"/>
    <x v="1"/>
    <n v="869"/>
    <n v="347600"/>
    <s v="PENDENTE"/>
  </r>
  <r>
    <d v="2026-03-24T00:00:00"/>
    <s v="Emanuel"/>
    <x v="1"/>
    <n v="682"/>
    <n v="272800"/>
    <s v="PENDENTE"/>
  </r>
  <r>
    <d v="2026-03-27T00:00:00"/>
    <s v="Chaga"/>
    <x v="3"/>
    <n v="848"/>
    <n v="593600"/>
    <s v="DEVOLVIDO"/>
  </r>
  <r>
    <d v="2026-02-24T00:00:00"/>
    <s v="Julio"/>
    <x v="0"/>
    <n v="618"/>
    <n v="61800"/>
    <s v="PENDENTE"/>
  </r>
  <r>
    <d v="2026-02-08T00:00:00"/>
    <s v="Erisvaldo"/>
    <x v="1"/>
    <n v="1027"/>
    <n v="410800"/>
    <s v="PENDENTE"/>
  </r>
  <r>
    <d v="2026-03-15T00:00:00"/>
    <s v="Chaga"/>
    <x v="3"/>
    <n v="1014"/>
    <n v="709800"/>
    <s v="DEVOLVIDO"/>
  </r>
  <r>
    <d v="2026-03-12T00:00:00"/>
    <s v="Emanuel"/>
    <x v="0"/>
    <n v="421"/>
    <n v="42100"/>
    <s v="DEVOLVIDO"/>
  </r>
  <r>
    <d v="2026-01-19T00:00:00"/>
    <s v="Roberto"/>
    <x v="3"/>
    <n v="1087"/>
    <n v="760900"/>
    <s v="ENTREGUE"/>
  </r>
  <r>
    <d v="2026-01-12T00:00:00"/>
    <s v="Chaga"/>
    <x v="1"/>
    <n v="664"/>
    <n v="265600"/>
    <s v="PENDENTE"/>
  </r>
  <r>
    <d v="2026-03-07T00:00:00"/>
    <s v="Carlos"/>
    <x v="1"/>
    <n v="539"/>
    <n v="215600"/>
    <s v="DEVOLVIDO"/>
  </r>
  <r>
    <d v="2026-03-27T00:00:00"/>
    <s v="Carlos"/>
    <x v="1"/>
    <n v="593"/>
    <n v="237200"/>
    <s v="ENTREGUE"/>
  </r>
  <r>
    <d v="2026-01-29T00:00:00"/>
    <s v="Erisvaldo"/>
    <x v="2"/>
    <n v="1198"/>
    <n v="143760"/>
    <s v="PENDENTE"/>
  </r>
  <r>
    <d v="2026-01-27T00:00:00"/>
    <s v="Chaga"/>
    <x v="3"/>
    <n v="896"/>
    <n v="627200"/>
    <s v="PENDENTE"/>
  </r>
  <r>
    <d v="2026-03-29T00:00:00"/>
    <s v="Adão"/>
    <x v="3"/>
    <n v="446"/>
    <n v="312200"/>
    <s v="PENDENTE"/>
  </r>
  <r>
    <d v="2026-01-18T00:00:00"/>
    <s v="Emanuel"/>
    <x v="1"/>
    <n v="1114"/>
    <n v="445600"/>
    <s v="ENTREGUE"/>
  </r>
  <r>
    <d v="2026-01-18T00:00:00"/>
    <s v="Emanuel"/>
    <x v="1"/>
    <n v="1048"/>
    <n v="419200"/>
    <s v="DEVOLVIDO"/>
  </r>
  <r>
    <d v="2026-02-16T00:00:00"/>
    <s v="Emanuel"/>
    <x v="3"/>
    <n v="1114"/>
    <n v="779800"/>
    <s v="ENTREGUE"/>
  </r>
  <r>
    <d v="2026-03-06T00:00:00"/>
    <s v="Julio"/>
    <x v="3"/>
    <n v="1177"/>
    <n v="823900"/>
    <s v="DEVOLVIDO"/>
  </r>
  <r>
    <d v="2026-01-18T00:00:00"/>
    <s v="Emanuel"/>
    <x v="1"/>
    <n v="850"/>
    <n v="340000"/>
    <s v="DEVOLVIDO"/>
  </r>
  <r>
    <d v="2026-03-06T00:00:00"/>
    <s v="Carlos"/>
    <x v="2"/>
    <n v="945"/>
    <n v="113400"/>
    <s v="DEVOLVIDO"/>
  </r>
  <r>
    <d v="2026-01-22T00:00:00"/>
    <s v="Roberto"/>
    <x v="2"/>
    <n v="1111"/>
    <n v="133320"/>
    <s v="PENDENTE"/>
  </r>
  <r>
    <d v="2026-01-31T00:00:00"/>
    <s v="Chaga"/>
    <x v="0"/>
    <n v="1189"/>
    <n v="118900"/>
    <s v="DEVOLVIDO"/>
  </r>
  <r>
    <d v="2026-03-31T00:00:00"/>
    <s v="Adão"/>
    <x v="0"/>
    <n v="431"/>
    <n v="43100"/>
    <s v="ENTREGUE"/>
  </r>
  <r>
    <d v="2026-01-18T00:00:00"/>
    <s v="Emanuel"/>
    <x v="3"/>
    <n v="624"/>
    <n v="436800"/>
    <s v="ENTREGUE"/>
  </r>
  <r>
    <d v="2026-03-24T00:00:00"/>
    <s v="Julio"/>
    <x v="1"/>
    <n v="937"/>
    <n v="374800"/>
    <s v="PENDENTE"/>
  </r>
  <r>
    <d v="2026-03-07T00:00:00"/>
    <s v="Julio"/>
    <x v="0"/>
    <n v="702"/>
    <n v="70200"/>
    <s v="PENDENTE"/>
  </r>
  <r>
    <d v="2026-01-26T00:00:00"/>
    <s v="Carlos"/>
    <x v="3"/>
    <n v="469"/>
    <n v="328300"/>
    <s v="ENTREGUE"/>
  </r>
  <r>
    <d v="2026-02-24T00:00:00"/>
    <s v="Chaga"/>
    <x v="3"/>
    <n v="1110"/>
    <n v="777000"/>
    <s v="DEVOLVIDO"/>
  </r>
  <r>
    <d v="2026-01-31T00:00:00"/>
    <s v="Carlos"/>
    <x v="3"/>
    <n v="948"/>
    <n v="663600"/>
    <s v="DEVOLVIDO"/>
  </r>
  <r>
    <d v="2026-03-30T00:00:00"/>
    <s v="Julio"/>
    <x v="3"/>
    <n v="861"/>
    <n v="602700"/>
    <s v="DEVOLVIDO"/>
  </r>
  <r>
    <d v="2026-02-01T00:00:00"/>
    <s v="Adão"/>
    <x v="2"/>
    <n v="1149"/>
    <n v="137880"/>
    <s v="ENTREGUE"/>
  </r>
  <r>
    <d v="2026-01-12T00:00:00"/>
    <s v="Chaga"/>
    <x v="1"/>
    <n v="728"/>
    <n v="291200"/>
    <s v="ENTREGUE"/>
  </r>
  <r>
    <d v="2026-02-04T00:00:00"/>
    <s v="Adão"/>
    <x v="0"/>
    <n v="688"/>
    <n v="68800"/>
    <s v="DEVOLVIDO"/>
  </r>
  <r>
    <d v="2026-02-01T00:00:00"/>
    <s v="Erisvaldo"/>
    <x v="0"/>
    <n v="1074"/>
    <n v="107400"/>
    <s v="DEVOLVIDO"/>
  </r>
  <r>
    <d v="2026-03-22T00:00:00"/>
    <s v="Adão"/>
    <x v="1"/>
    <n v="566"/>
    <n v="226400"/>
    <s v="PENDENTE"/>
  </r>
  <r>
    <d v="2026-03-31T00:00:00"/>
    <s v="Erisvaldo"/>
    <x v="3"/>
    <n v="566"/>
    <n v="396200"/>
    <s v="PENDENTE"/>
  </r>
  <r>
    <d v="2026-02-21T00:00:00"/>
    <s v="Adão"/>
    <x v="2"/>
    <n v="728"/>
    <n v="87360"/>
    <s v="ENTREGUE"/>
  </r>
  <r>
    <d v="2026-01-23T00:00:00"/>
    <s v="Emanuel"/>
    <x v="0"/>
    <n v="973"/>
    <n v="97300"/>
    <s v="DEVOLVIDO"/>
  </r>
  <r>
    <d v="2026-03-12T00:00:00"/>
    <s v="Carlos"/>
    <x v="1"/>
    <n v="1064"/>
    <n v="425600"/>
    <s v="PENDENTE"/>
  </r>
  <r>
    <d v="2026-03-01T00:00:00"/>
    <s v="Emanuel"/>
    <x v="1"/>
    <n v="800"/>
    <n v="320000"/>
    <s v="ENTREGUE"/>
  </r>
  <r>
    <d v="2026-01-21T00:00:00"/>
    <s v="Adão"/>
    <x v="2"/>
    <n v="1198"/>
    <n v="143760"/>
    <s v="PENDENTE"/>
  </r>
  <r>
    <d v="2026-03-02T00:00:00"/>
    <s v="Julio"/>
    <x v="0"/>
    <n v="992"/>
    <n v="99200"/>
    <s v="ENTREGUE"/>
  </r>
  <r>
    <d v="2026-03-22T00:00:00"/>
    <s v="Roberto"/>
    <x v="3"/>
    <n v="1017"/>
    <n v="711900"/>
    <s v="ENTREGUE"/>
  </r>
  <r>
    <d v="2026-01-21T00:00:00"/>
    <s v="Julio"/>
    <x v="2"/>
    <n v="640"/>
    <n v="76800"/>
    <s v="PENDENTE"/>
  </r>
  <r>
    <d v="2026-01-20T00:00:00"/>
    <s v="Emanuel"/>
    <x v="0"/>
    <n v="995"/>
    <n v="99500"/>
    <s v="PENDENTE"/>
  </r>
  <r>
    <d v="2026-01-22T00:00:00"/>
    <s v="Roberto"/>
    <x v="3"/>
    <n v="803"/>
    <n v="562100"/>
    <s v="DEVOLVIDO"/>
  </r>
  <r>
    <d v="2026-03-04T00:00:00"/>
    <s v="Carlos"/>
    <x v="3"/>
    <n v="470"/>
    <n v="329000"/>
    <s v="DEVOLVIDO"/>
  </r>
  <r>
    <d v="2026-01-17T00:00:00"/>
    <s v="Carlos"/>
    <x v="0"/>
    <n v="590"/>
    <n v="59000"/>
    <s v="DEVOLVIDO"/>
  </r>
  <r>
    <d v="2026-02-15T00:00:00"/>
    <s v="Julio"/>
    <x v="1"/>
    <n v="428"/>
    <n v="171200"/>
    <s v="ENTREGUE"/>
  </r>
  <r>
    <d v="2026-03-28T00:00:00"/>
    <s v="Roberto"/>
    <x v="1"/>
    <n v="978"/>
    <n v="391200"/>
    <s v="ENTREGUE"/>
  </r>
  <r>
    <d v="2026-02-16T00:00:00"/>
    <s v="Roberto"/>
    <x v="3"/>
    <n v="881"/>
    <n v="616700"/>
    <s v="ENTREGUE"/>
  </r>
  <r>
    <d v="2026-03-02T00:00:00"/>
    <s v="Carlos"/>
    <x v="2"/>
    <n v="1084"/>
    <n v="130080"/>
    <s v="DEVOLVIDO"/>
  </r>
  <r>
    <d v="2026-02-05T00:00:00"/>
    <s v="Roberto"/>
    <x v="2"/>
    <n v="663"/>
    <n v="79560"/>
    <s v="ENTREGUE"/>
  </r>
  <r>
    <d v="2026-02-07T00:00:00"/>
    <s v="Emanuel"/>
    <x v="3"/>
    <n v="578"/>
    <n v="404600"/>
    <s v="ENTREGUE"/>
  </r>
  <r>
    <d v="2026-02-14T00:00:00"/>
    <s v="Erisvaldo"/>
    <x v="3"/>
    <n v="1010"/>
    <n v="707000"/>
    <s v="DEVOLVIDO"/>
  </r>
  <r>
    <d v="2026-02-25T00:00:00"/>
    <s v="Julio"/>
    <x v="3"/>
    <n v="1035"/>
    <n v="724500"/>
    <s v="ENTREGUE"/>
  </r>
  <r>
    <d v="2026-01-18T00:00:00"/>
    <s v="Erisvaldo"/>
    <x v="1"/>
    <n v="1025"/>
    <n v="410000"/>
    <s v="PENDENTE"/>
  </r>
  <r>
    <d v="2026-01-29T00:00:00"/>
    <s v="Adão"/>
    <x v="3"/>
    <n v="664"/>
    <n v="464800"/>
    <s v="ENTREGUE"/>
  </r>
  <r>
    <d v="2026-02-20T00:00:00"/>
    <s v="Julio"/>
    <x v="3"/>
    <n v="514"/>
    <n v="359800"/>
    <s v="ENTREGUE"/>
  </r>
  <r>
    <d v="2026-03-23T00:00:00"/>
    <s v="Chaga"/>
    <x v="2"/>
    <n v="475"/>
    <n v="57000"/>
    <s v="ENTREGUE"/>
  </r>
  <r>
    <d v="2026-02-18T00:00:00"/>
    <s v="Emanuel"/>
    <x v="1"/>
    <n v="680"/>
    <n v="272000"/>
    <s v="DEVOLVIDO"/>
  </r>
  <r>
    <d v="2026-03-11T00:00:00"/>
    <s v="Chaga"/>
    <x v="0"/>
    <n v="829"/>
    <n v="82900"/>
    <s v="ENTREGUE"/>
  </r>
  <r>
    <d v="2026-02-06T00:00:00"/>
    <s v="Emanuel"/>
    <x v="1"/>
    <n v="1163"/>
    <n v="465200"/>
    <s v="DEVOLVIDO"/>
  </r>
  <r>
    <d v="2026-03-30T00:00:00"/>
    <s v="Adão"/>
    <x v="3"/>
    <n v="722"/>
    <n v="505400"/>
    <s v="ENTREGUE"/>
  </r>
  <r>
    <d v="2026-03-15T00:00:00"/>
    <s v="Julio"/>
    <x v="0"/>
    <n v="841"/>
    <n v="84100"/>
    <s v="ENTREGUE"/>
  </r>
  <r>
    <d v="2026-03-24T00:00:00"/>
    <s v="Roberto"/>
    <x v="0"/>
    <n v="1169"/>
    <n v="116900"/>
    <s v="PENDENTE"/>
  </r>
  <r>
    <d v="2026-02-13T00:00:00"/>
    <s v="Carlos"/>
    <x v="3"/>
    <n v="1055"/>
    <n v="738500"/>
    <s v="DEVOLVIDO"/>
  </r>
  <r>
    <d v="2026-03-05T00:00:00"/>
    <s v="Roberto"/>
    <x v="0"/>
    <n v="997"/>
    <n v="99700"/>
    <s v="DEVOLVIDO"/>
  </r>
  <r>
    <d v="2026-01-22T00:00:00"/>
    <s v="Carlos"/>
    <x v="1"/>
    <n v="1024"/>
    <n v="409600"/>
    <s v="PENDENTE"/>
  </r>
  <r>
    <d v="2026-03-09T00:00:00"/>
    <s v="Chaga"/>
    <x v="0"/>
    <n v="760"/>
    <n v="76000"/>
    <s v="PENDENTE"/>
  </r>
  <r>
    <d v="2026-02-15T00:00:00"/>
    <s v="Carlos"/>
    <x v="1"/>
    <n v="1077"/>
    <n v="430800"/>
    <s v="ENTREGUE"/>
  </r>
  <r>
    <d v="2026-03-29T00:00:00"/>
    <s v="Adão"/>
    <x v="0"/>
    <n v="1042"/>
    <n v="104200"/>
    <s v="DEVOLVIDO"/>
  </r>
  <r>
    <d v="2026-02-08T00:00:00"/>
    <s v="Chaga"/>
    <x v="2"/>
    <n v="1159"/>
    <n v="139080"/>
    <s v="ENTREGUE"/>
  </r>
  <r>
    <d v="2026-03-13T00:00:00"/>
    <s v="Erisvaldo"/>
    <x v="2"/>
    <n v="932"/>
    <n v="111840"/>
    <s v="DEVOLVIDO"/>
  </r>
  <r>
    <d v="2026-03-02T00:00:00"/>
    <s v="Erisvaldo"/>
    <x v="3"/>
    <n v="770"/>
    <n v="539000"/>
    <s v="ENTREGUE"/>
  </r>
  <r>
    <d v="2026-03-18T00:00:00"/>
    <s v="Erisvaldo"/>
    <x v="3"/>
    <n v="548"/>
    <n v="383600"/>
    <s v="ENTREGUE"/>
  </r>
  <r>
    <d v="2026-01-15T00:00:00"/>
    <s v="Chaga"/>
    <x v="2"/>
    <n v="1070"/>
    <n v="128400"/>
    <s v="ENTREGUE"/>
  </r>
  <r>
    <d v="2026-01-30T00:00:00"/>
    <s v="Carlos"/>
    <x v="2"/>
    <n v="1003"/>
    <n v="120360"/>
    <s v="PENDENTE"/>
  </r>
  <r>
    <d v="2026-03-15T00:00:00"/>
    <s v="Carlos"/>
    <x v="3"/>
    <n v="666"/>
    <n v="466200"/>
    <s v="DEVOLVIDO"/>
  </r>
  <r>
    <d v="2026-03-16T00:00:00"/>
    <s v="Roberto"/>
    <x v="1"/>
    <n v="1015"/>
    <n v="406000"/>
    <s v="PENDENTE"/>
  </r>
  <r>
    <d v="2026-03-23T00:00:00"/>
    <s v="Chaga"/>
    <x v="0"/>
    <n v="625"/>
    <n v="62500"/>
    <s v="ENTREGUE"/>
  </r>
  <r>
    <d v="2026-02-16T00:00:00"/>
    <s v="Erisvaldo"/>
    <x v="0"/>
    <n v="829"/>
    <n v="82900"/>
    <s v="PENDENTE"/>
  </r>
  <r>
    <d v="2026-01-31T00:00:00"/>
    <s v="Carlos"/>
    <x v="0"/>
    <n v="1105"/>
    <n v="110500"/>
    <s v="DEVOLVIDO"/>
  </r>
  <r>
    <d v="2026-02-09T00:00:00"/>
    <s v="Carlos"/>
    <x v="0"/>
    <n v="870"/>
    <n v="87000"/>
    <s v="DEVOLVIDO"/>
  </r>
  <r>
    <d v="2026-03-04T00:00:00"/>
    <s v="Adão"/>
    <x v="2"/>
    <n v="1171"/>
    <n v="140520"/>
    <s v="ENTREGUE"/>
  </r>
  <r>
    <d v="2026-03-28T00:00:00"/>
    <s v="Roberto"/>
    <x v="2"/>
    <n v="892"/>
    <n v="107040"/>
    <s v="PENDENTE"/>
  </r>
  <r>
    <d v="2026-02-13T00:00:00"/>
    <s v="Roberto"/>
    <x v="0"/>
    <n v="1093"/>
    <n v="109300"/>
    <s v="DEVOLVIDO"/>
  </r>
  <r>
    <d v="2026-02-19T00:00:00"/>
    <s v="Chaga"/>
    <x v="2"/>
    <n v="609"/>
    <n v="73080"/>
    <s v="ENTREGUE"/>
  </r>
  <r>
    <d v="2026-02-17T00:00:00"/>
    <s v="Erisvaldo"/>
    <x v="2"/>
    <n v="736"/>
    <n v="88320"/>
    <s v="DEVOLVIDO"/>
  </r>
  <r>
    <d v="2026-03-15T00:00:00"/>
    <s v="Chaga"/>
    <x v="0"/>
    <n v="865"/>
    <n v="86500"/>
    <s v="ENTREGUE"/>
  </r>
  <r>
    <d v="2026-02-03T00:00:00"/>
    <s v="Julio"/>
    <x v="3"/>
    <n v="994"/>
    <n v="695800"/>
    <s v="PENDENTE"/>
  </r>
  <r>
    <d v="2026-01-25T00:00:00"/>
    <s v="Chaga"/>
    <x v="0"/>
    <n v="829"/>
    <n v="82900"/>
    <s v="PENDENTE"/>
  </r>
  <r>
    <d v="2026-03-12T00:00:00"/>
    <s v="Emanuel"/>
    <x v="0"/>
    <n v="470"/>
    <n v="47000"/>
    <s v="PENDENTE"/>
  </r>
  <r>
    <d v="2026-03-12T00:00:00"/>
    <s v="Erisvaldo"/>
    <x v="0"/>
    <n v="1180"/>
    <n v="118000"/>
    <s v="ENTREGUE"/>
  </r>
  <r>
    <d v="2026-02-07T00:00:00"/>
    <s v="Chaga"/>
    <x v="3"/>
    <n v="879"/>
    <n v="615300"/>
    <s v="DEVOLVIDO"/>
  </r>
  <r>
    <d v="2026-02-08T00:00:00"/>
    <s v="Chaga"/>
    <x v="3"/>
    <n v="644"/>
    <n v="450800"/>
    <s v="PENDENTE"/>
  </r>
  <r>
    <d v="2026-02-02T00:00:00"/>
    <s v="Emanuel"/>
    <x v="1"/>
    <n v="852"/>
    <n v="340800"/>
    <s v="ENTREGUE"/>
  </r>
  <r>
    <d v="2026-03-10T00:00:00"/>
    <s v="Chaga"/>
    <x v="3"/>
    <n v="1036"/>
    <n v="725200"/>
    <s v="PENDENTE"/>
  </r>
  <r>
    <d v="2026-03-19T00:00:00"/>
    <s v="Adão"/>
    <x v="3"/>
    <n v="932"/>
    <n v="652400"/>
    <s v="ENTREGUE"/>
  </r>
  <r>
    <d v="2026-03-20T00:00:00"/>
    <s v="Adão"/>
    <x v="0"/>
    <n v="800"/>
    <n v="80000"/>
    <s v="ENTREGUE"/>
  </r>
  <r>
    <d v="2026-03-19T00:00:00"/>
    <s v="Roberto"/>
    <x v="1"/>
    <n v="989"/>
    <n v="395600"/>
    <s v="PENDENTE"/>
  </r>
  <r>
    <d v="2026-01-14T00:00:00"/>
    <s v="Emanuel"/>
    <x v="0"/>
    <n v="590"/>
    <n v="59000"/>
    <s v="ENTREGUE"/>
  </r>
  <r>
    <d v="2026-02-14T00:00:00"/>
    <s v="Erisvaldo"/>
    <x v="0"/>
    <n v="930"/>
    <n v="93000"/>
    <s v="DEVOLVIDO"/>
  </r>
  <r>
    <d v="2026-03-15T00:00:00"/>
    <s v="Erisvaldo"/>
    <x v="0"/>
    <n v="935"/>
    <n v="93500"/>
    <s v="ENTREGUE"/>
  </r>
  <r>
    <d v="2026-03-17T00:00:00"/>
    <s v="Julio"/>
    <x v="1"/>
    <n v="936"/>
    <n v="374400"/>
    <s v="DEVOLVIDO"/>
  </r>
  <r>
    <d v="2026-01-26T00:00:00"/>
    <s v="Julio"/>
    <x v="2"/>
    <n v="561"/>
    <n v="67320"/>
    <s v="ENTREGUE"/>
  </r>
  <r>
    <d v="2026-02-04T00:00:00"/>
    <s v="Roberto"/>
    <x v="1"/>
    <n v="1183"/>
    <n v="473200"/>
    <s v="ENTREGUE"/>
  </r>
  <r>
    <d v="2026-01-23T00:00:00"/>
    <s v="Roberto"/>
    <x v="0"/>
    <n v="1075"/>
    <n v="107500"/>
    <s v="PENDENTE"/>
  </r>
  <r>
    <d v="2026-02-04T00:00:00"/>
    <s v="Carlos"/>
    <x v="2"/>
    <n v="559"/>
    <n v="67080"/>
    <s v="ENTREGUE"/>
  </r>
  <r>
    <d v="2026-02-18T00:00:00"/>
    <s v="Carlos"/>
    <x v="0"/>
    <n v="1062"/>
    <n v="106200"/>
    <s v="ENTREGUE"/>
  </r>
  <r>
    <d v="2026-03-11T00:00:00"/>
    <s v="Julio"/>
    <x v="1"/>
    <n v="1150"/>
    <n v="460000"/>
    <s v="ENTREGUE"/>
  </r>
  <r>
    <d v="2026-02-10T00:00:00"/>
    <s v="Chaga"/>
    <x v="0"/>
    <n v="1138"/>
    <n v="113800"/>
    <s v="ENTREGUE"/>
  </r>
  <r>
    <d v="2026-02-25T00:00:00"/>
    <s v="Carlos"/>
    <x v="3"/>
    <n v="1099"/>
    <n v="769300"/>
    <s v="ENTREGUE"/>
  </r>
  <r>
    <d v="2026-02-26T00:00:00"/>
    <s v="Chaga"/>
    <x v="2"/>
    <n v="502"/>
    <n v="60240"/>
    <s v="PENDENTE"/>
  </r>
  <r>
    <d v="2026-01-21T00:00:00"/>
    <s v="Emanuel"/>
    <x v="1"/>
    <n v="1110"/>
    <n v="444000"/>
    <s v="ENTREGUE"/>
  </r>
  <r>
    <d v="2026-02-18T00:00:00"/>
    <s v="Chaga"/>
    <x v="0"/>
    <n v="910"/>
    <n v="91000"/>
    <s v="DEVOLVIDO"/>
  </r>
  <r>
    <d v="2026-03-02T00:00:00"/>
    <s v="Emanuel"/>
    <x v="2"/>
    <n v="987"/>
    <n v="118440"/>
    <s v="PENDENTE"/>
  </r>
  <r>
    <d v="2026-02-05T00:00:00"/>
    <s v="Carlos"/>
    <x v="2"/>
    <n v="579"/>
    <n v="69480"/>
    <s v="PENDENTE"/>
  </r>
  <r>
    <d v="2026-01-12T00:00:00"/>
    <s v="Adão"/>
    <x v="1"/>
    <n v="1191"/>
    <n v="476400"/>
    <s v="PENDENTE"/>
  </r>
  <r>
    <d v="2026-02-07T00:00:00"/>
    <s v="Erisvaldo"/>
    <x v="3"/>
    <n v="497"/>
    <n v="347900"/>
    <s v="PENDENTE"/>
  </r>
  <r>
    <d v="2026-01-26T00:00:00"/>
    <s v="Adão"/>
    <x v="2"/>
    <n v="1015"/>
    <n v="121800"/>
    <s v="PENDENTE"/>
  </r>
  <r>
    <d v="2026-03-26T00:00:00"/>
    <s v="Adão"/>
    <x v="3"/>
    <n v="1034"/>
    <n v="723800"/>
    <s v="ENTREGUE"/>
  </r>
  <r>
    <d v="2026-02-12T00:00:00"/>
    <s v="Chaga"/>
    <x v="2"/>
    <n v="1084"/>
    <n v="130080"/>
    <s v="DEVOLVIDO"/>
  </r>
  <r>
    <d v="2026-02-11T00:00:00"/>
    <s v="Adão"/>
    <x v="2"/>
    <n v="983"/>
    <n v="117960"/>
    <s v="DEVOLVIDO"/>
  </r>
  <r>
    <d v="2026-01-12T00:00:00"/>
    <s v="Roberto"/>
    <x v="2"/>
    <n v="531"/>
    <n v="63720"/>
    <s v="PENDENTE"/>
  </r>
  <r>
    <d v="2026-02-11T00:00:00"/>
    <s v="Erisvaldo"/>
    <x v="1"/>
    <n v="939"/>
    <n v="375600"/>
    <s v="PENDENTE"/>
  </r>
  <r>
    <d v="2026-01-16T00:00:00"/>
    <s v="Roberto"/>
    <x v="1"/>
    <n v="1154"/>
    <n v="461600"/>
    <s v="DEVOLVIDO"/>
  </r>
  <r>
    <d v="2026-03-23T00:00:00"/>
    <s v="Emanuel"/>
    <x v="0"/>
    <n v="868"/>
    <n v="86800"/>
    <s v="ENTREGUE"/>
  </r>
  <r>
    <d v="2026-02-17T00:00:00"/>
    <s v="Emanuel"/>
    <x v="0"/>
    <n v="737"/>
    <n v="73700"/>
    <s v="PENDENTE"/>
  </r>
  <r>
    <d v="2026-03-07T00:00:00"/>
    <s v="Carlos"/>
    <x v="3"/>
    <n v="746"/>
    <n v="522200"/>
    <s v="ENTREGUE"/>
  </r>
  <r>
    <d v="2026-02-11T00:00:00"/>
    <s v="Erisvaldo"/>
    <x v="3"/>
    <n v="500"/>
    <n v="350000"/>
    <s v="PENDENTE"/>
  </r>
  <r>
    <d v="2026-03-20T00:00:00"/>
    <s v="Emanuel"/>
    <x v="2"/>
    <n v="1081"/>
    <n v="129720"/>
    <s v="ENTREGUE"/>
  </r>
  <r>
    <d v="2026-01-27T00:00:00"/>
    <s v="Chaga"/>
    <x v="2"/>
    <n v="673"/>
    <n v="80760"/>
    <s v="DEVOLVIDO"/>
  </r>
  <r>
    <d v="2026-03-03T00:00:00"/>
    <s v="Emanuel"/>
    <x v="0"/>
    <n v="1102"/>
    <n v="110200"/>
    <s v="PENDENTE"/>
  </r>
  <r>
    <d v="2026-01-15T00:00:00"/>
    <s v="Chaga"/>
    <x v="0"/>
    <n v="494"/>
    <n v="49400"/>
    <s v="DEVOLVIDO"/>
  </r>
  <r>
    <d v="2026-01-15T00:00:00"/>
    <s v="Emanuel"/>
    <x v="0"/>
    <n v="1104"/>
    <n v="110400"/>
    <s v="DEVOLVIDO"/>
  </r>
  <r>
    <d v="2026-03-09T00:00:00"/>
    <s v="Julio"/>
    <x v="1"/>
    <n v="1012"/>
    <n v="404800"/>
    <s v="PENDENTE"/>
  </r>
  <r>
    <d v="2026-03-23T00:00:00"/>
    <s v="Adão"/>
    <x v="3"/>
    <n v="794"/>
    <n v="555800"/>
    <s v="ENTREGUE"/>
  </r>
  <r>
    <d v="2026-02-09T00:00:00"/>
    <s v="Adão"/>
    <x v="3"/>
    <n v="475"/>
    <n v="332500"/>
    <s v="DEVOLVIDO"/>
  </r>
  <r>
    <d v="2026-02-07T00:00:00"/>
    <s v="Chaga"/>
    <x v="0"/>
    <n v="1060"/>
    <n v="106000"/>
    <s v="DEVOLVIDO"/>
  </r>
  <r>
    <d v="2026-02-06T00:00:00"/>
    <s v="Adão"/>
    <x v="3"/>
    <n v="886"/>
    <n v="620200"/>
    <s v="PENDENTE"/>
  </r>
  <r>
    <d v="2026-02-25T00:00:00"/>
    <s v="Roberto"/>
    <x v="3"/>
    <n v="539"/>
    <n v="377300"/>
    <s v="PENDENTE"/>
  </r>
  <r>
    <d v="2026-03-30T00:00:00"/>
    <s v="Chaga"/>
    <x v="2"/>
    <n v="1160"/>
    <n v="139200"/>
    <s v="PENDENTE"/>
  </r>
  <r>
    <d v="2026-01-17T00:00:00"/>
    <s v="Emanuel"/>
    <x v="3"/>
    <n v="618"/>
    <n v="432600"/>
    <s v="PENDENTE"/>
  </r>
  <r>
    <d v="2026-03-10T00:00:00"/>
    <s v="Adão"/>
    <x v="2"/>
    <n v="734"/>
    <n v="88080"/>
    <s v="PENDENTE"/>
  </r>
  <r>
    <d v="2026-03-25T00:00:00"/>
    <s v="Emanuel"/>
    <x v="2"/>
    <n v="837"/>
    <n v="100440"/>
    <s v="DEVOLVIDO"/>
  </r>
  <r>
    <d v="2026-01-29T00:00:00"/>
    <s v="Erisvaldo"/>
    <x v="1"/>
    <n v="990"/>
    <n v="396000"/>
    <s v="DEVOLVIDO"/>
  </r>
  <r>
    <d v="2026-03-22T00:00:00"/>
    <s v="Adão"/>
    <x v="0"/>
    <n v="586"/>
    <n v="58600"/>
    <s v="PENDENTE"/>
  </r>
  <r>
    <d v="2026-02-15T00:00:00"/>
    <s v="Emanuel"/>
    <x v="3"/>
    <n v="1115"/>
    <n v="780500"/>
    <s v="PENDENTE"/>
  </r>
  <r>
    <d v="2026-01-24T00:00:00"/>
    <s v="Carlos"/>
    <x v="0"/>
    <n v="870"/>
    <n v="87000"/>
    <s v="ENTREGUE"/>
  </r>
  <r>
    <d v="2026-03-09T00:00:00"/>
    <s v="Emanuel"/>
    <x v="0"/>
    <n v="1000"/>
    <n v="100000"/>
    <s v="PENDENTE"/>
  </r>
  <r>
    <d v="2026-03-20T00:00:00"/>
    <s v="Erisvaldo"/>
    <x v="1"/>
    <n v="512"/>
    <n v="204800"/>
    <s v="DEVOLVIDO"/>
  </r>
  <r>
    <d v="2026-03-10T00:00:00"/>
    <s v="Carlos"/>
    <x v="2"/>
    <n v="448"/>
    <n v="53760"/>
    <s v="ENTREGUE"/>
  </r>
  <r>
    <d v="2026-03-28T00:00:00"/>
    <s v="Roberto"/>
    <x v="3"/>
    <n v="529"/>
    <n v="370300"/>
    <s v="ENTREGUE"/>
  </r>
  <r>
    <d v="2026-02-09T00:00:00"/>
    <s v="Emanuel"/>
    <x v="2"/>
    <n v="820"/>
    <n v="98400"/>
    <s v="ENTREGUE"/>
  </r>
  <r>
    <d v="2026-02-14T00:00:00"/>
    <s v="Carlos"/>
    <x v="1"/>
    <n v="1148"/>
    <n v="459200"/>
    <s v="PENDENTE"/>
  </r>
  <r>
    <d v="2026-02-12T00:00:00"/>
    <s v="Adão"/>
    <x v="2"/>
    <n v="1060"/>
    <n v="127200"/>
    <s v="PENDENTE"/>
  </r>
  <r>
    <d v="2026-01-19T00:00:00"/>
    <s v="Adão"/>
    <x v="1"/>
    <n v="570"/>
    <n v="228000"/>
    <s v="DEVOLVIDO"/>
  </r>
  <r>
    <d v="2026-02-20T00:00:00"/>
    <s v="Erisvaldo"/>
    <x v="0"/>
    <n v="1059"/>
    <n v="105900"/>
    <s v="ENTREGUE"/>
  </r>
  <r>
    <d v="2026-02-06T00:00:00"/>
    <s v="Erisvaldo"/>
    <x v="0"/>
    <n v="1047"/>
    <n v="104700"/>
    <s v="ENTREGUE"/>
  </r>
  <r>
    <d v="2026-03-05T00:00:00"/>
    <s v="Adão"/>
    <x v="3"/>
    <n v="792"/>
    <n v="554400"/>
    <s v="DEVOLVIDO"/>
  </r>
  <r>
    <d v="2026-02-07T00:00:00"/>
    <s v="Erisvaldo"/>
    <x v="1"/>
    <n v="433"/>
    <n v="173200"/>
    <s v="DEVOLVIDO"/>
  </r>
  <r>
    <d v="2026-02-23T00:00:00"/>
    <s v="Emanuel"/>
    <x v="0"/>
    <n v="781"/>
    <n v="78100"/>
    <s v="DEVOLVIDO"/>
  </r>
  <r>
    <d v="2026-03-27T00:00:00"/>
    <s v="Carlos"/>
    <x v="0"/>
    <n v="972"/>
    <n v="97200"/>
    <s v="PENDENTE"/>
  </r>
  <r>
    <d v="2026-01-21T00:00:00"/>
    <s v="Emanuel"/>
    <x v="0"/>
    <n v="786"/>
    <n v="78600"/>
    <s v="PENDENTE"/>
  </r>
  <r>
    <d v="2026-02-26T00:00:00"/>
    <s v="Chaga"/>
    <x v="3"/>
    <n v="865"/>
    <n v="605500"/>
    <s v="PENDENTE"/>
  </r>
  <r>
    <d v="2026-03-07T00:00:00"/>
    <s v="Julio"/>
    <x v="3"/>
    <n v="578"/>
    <n v="404600"/>
    <s v="ENTREGUE"/>
  </r>
  <r>
    <d v="2026-02-24T00:00:00"/>
    <s v="Julio"/>
    <x v="0"/>
    <n v="772"/>
    <n v="77200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9EB8B-C2CB-42A0-8295-A83AA9FD9C5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numFmtId="14" showAll="0"/>
    <pivotField showAll="0"/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2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oma de Frete(R$)" fld="4" baseField="0" baseItem="0" numFmtId="164"/>
  </dataFields>
  <formats count="4">
    <format dxfId="3">
      <pivotArea collapsedLevelsAreSubtotals="1" fieldPosition="0">
        <references count="1">
          <reference field="2" count="1">
            <x v="0"/>
          </reference>
        </references>
      </pivotArea>
    </format>
    <format dxfId="2">
      <pivotArea dataOnly="0" labelOnly="1" outline="0" axis="axisValues" fieldPosition="0"/>
    </format>
    <format dxfId="1">
      <pivotArea collapsedLevelsAreSubtotals="1" fieldPosition="0">
        <references count="1">
          <reference field="2" count="1">
            <x v="1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A1A078-C059-4DE7-8F4E-6361A449633E}" name="Tabela1" displayName="Tabela1" ref="I1:J5" totalsRowShown="0">
  <autoFilter ref="I1:J5" xr:uid="{9EA1A078-C059-4DE7-8F4E-6361A449633E}"/>
  <tableColumns count="2">
    <tableColumn id="1" xr3:uid="{7CF0B091-9A1B-4BEA-8C65-5B04EB2F8718}" name="Cidade"/>
    <tableColumn id="2" xr3:uid="{73F83627-4B35-4000-848A-872BD69EFA98}" name="Valor por Kg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8B71B9-AB76-476A-93D4-49BF1321563C}" name="Tabela2" displayName="Tabela2" ref="A1:F175" totalsRowShown="0">
  <autoFilter ref="A1:F175" xr:uid="{DF8B71B9-AB76-476A-93D4-49BF1321563C}"/>
  <tableColumns count="6">
    <tableColumn id="1" xr3:uid="{56DF1E61-9408-4B43-9FFF-E1EDF4650D69}" name="Data " dataDxfId="5"/>
    <tableColumn id="2" xr3:uid="{B4015850-1617-4F72-911F-122F6DD4BF0E}" name="Motorista"/>
    <tableColumn id="3" xr3:uid="{6AF57AC9-B448-45A3-B1A3-5CF6BD5FEA9B}" name="Cidade"/>
    <tableColumn id="4" xr3:uid="{0903998D-CA77-49BA-9B87-02D79EFA959D}" name="Peso(Kg)"/>
    <tableColumn id="5" xr3:uid="{616F7A1F-E2CF-490E-AE9C-DCE3281D7824}" name="Frete(R$)" dataDxfId="4">
      <calculatedColumnFormula>VLOOKUP(C2,Tabela1[],2,0)*D2</calculatedColumnFormula>
    </tableColumn>
    <tableColumn id="6" xr3:uid="{968A4FE1-1BA2-4C8B-BD5D-0A98D9313148}" name="Statu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3FCA-233A-4DE5-A9D7-D080F63BC994}">
  <dimension ref="A1:K175"/>
  <sheetViews>
    <sheetView tabSelected="1" topLeftCell="A5" workbookViewId="0">
      <selection activeCell="K13" sqref="K13"/>
    </sheetView>
  </sheetViews>
  <sheetFormatPr defaultRowHeight="14.5" x14ac:dyDescent="0.35"/>
  <cols>
    <col min="1" max="1" width="10.08984375" bestFit="1" customWidth="1"/>
    <col min="2" max="2" width="10.54296875" customWidth="1"/>
    <col min="4" max="4" width="10" customWidth="1"/>
    <col min="5" max="5" width="12.36328125" bestFit="1" customWidth="1"/>
    <col min="6" max="6" width="10.6328125" bestFit="1" customWidth="1"/>
    <col min="9" max="9" width="10.36328125" bestFit="1" customWidth="1"/>
    <col min="10" max="10" width="16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2</v>
      </c>
      <c r="J1" t="s">
        <v>24</v>
      </c>
    </row>
    <row r="2" spans="1:11" x14ac:dyDescent="0.35">
      <c r="A2" s="1">
        <v>46063</v>
      </c>
      <c r="B2" t="s">
        <v>6</v>
      </c>
      <c r="C2" t="s">
        <v>13</v>
      </c>
      <c r="D2">
        <v>400</v>
      </c>
      <c r="E2" s="2">
        <f>VLOOKUP(C2,Tabela1[],2,0)*D2</f>
        <v>40000</v>
      </c>
      <c r="F2" t="s">
        <v>17</v>
      </c>
      <c r="I2" t="s">
        <v>20</v>
      </c>
      <c r="J2">
        <v>100</v>
      </c>
    </row>
    <row r="3" spans="1:11" x14ac:dyDescent="0.35">
      <c r="A3" s="1">
        <v>46061</v>
      </c>
      <c r="B3" t="s">
        <v>7</v>
      </c>
      <c r="C3" t="s">
        <v>14</v>
      </c>
      <c r="D3">
        <v>950</v>
      </c>
      <c r="E3" s="2">
        <f>VLOOKUP(C3,Tabela1[],2,0)*D3</f>
        <v>380000</v>
      </c>
      <c r="F3" t="s">
        <v>18</v>
      </c>
      <c r="I3" t="s">
        <v>21</v>
      </c>
      <c r="J3">
        <v>400</v>
      </c>
    </row>
    <row r="4" spans="1:11" x14ac:dyDescent="0.35">
      <c r="A4" s="1">
        <v>46070</v>
      </c>
      <c r="B4" t="s">
        <v>6</v>
      </c>
      <c r="C4" t="s">
        <v>13</v>
      </c>
      <c r="D4">
        <v>1190</v>
      </c>
      <c r="E4" s="2">
        <f>VLOOKUP(C4,Tabela1[],2,0)*D4</f>
        <v>119000</v>
      </c>
      <c r="F4" t="s">
        <v>17</v>
      </c>
      <c r="I4" t="s">
        <v>22</v>
      </c>
      <c r="J4">
        <v>120</v>
      </c>
    </row>
    <row r="5" spans="1:11" x14ac:dyDescent="0.35">
      <c r="A5" s="1">
        <v>46063</v>
      </c>
      <c r="B5" t="s">
        <v>6</v>
      </c>
      <c r="C5" t="s">
        <v>15</v>
      </c>
      <c r="D5">
        <v>639</v>
      </c>
      <c r="E5" s="2">
        <f>VLOOKUP(C5,Tabela1[],2,0)*D5</f>
        <v>76680</v>
      </c>
      <c r="F5" t="s">
        <v>19</v>
      </c>
      <c r="I5" t="s">
        <v>23</v>
      </c>
      <c r="J5">
        <v>700</v>
      </c>
    </row>
    <row r="6" spans="1:11" x14ac:dyDescent="0.35">
      <c r="A6" s="1">
        <v>46037</v>
      </c>
      <c r="B6" t="s">
        <v>8</v>
      </c>
      <c r="C6" t="s">
        <v>16</v>
      </c>
      <c r="D6">
        <v>456</v>
      </c>
      <c r="E6" s="2">
        <f>VLOOKUP(C6,Tabela1[],2,0)*D6</f>
        <v>319200</v>
      </c>
      <c r="F6" t="s">
        <v>18</v>
      </c>
    </row>
    <row r="7" spans="1:11" x14ac:dyDescent="0.35">
      <c r="A7" s="1">
        <v>46035</v>
      </c>
      <c r="B7" t="s">
        <v>7</v>
      </c>
      <c r="C7" t="s">
        <v>14</v>
      </c>
      <c r="D7">
        <v>1112</v>
      </c>
      <c r="E7" s="2">
        <f>VLOOKUP(C7,Tabela1[],2,0)*D7</f>
        <v>444800</v>
      </c>
      <c r="F7" t="s">
        <v>17</v>
      </c>
      <c r="I7" t="s">
        <v>5</v>
      </c>
      <c r="J7" t="s">
        <v>35</v>
      </c>
    </row>
    <row r="8" spans="1:11" x14ac:dyDescent="0.35">
      <c r="A8" s="1">
        <v>46061</v>
      </c>
      <c r="B8" t="s">
        <v>9</v>
      </c>
      <c r="C8" t="s">
        <v>14</v>
      </c>
      <c r="D8">
        <v>869</v>
      </c>
      <c r="E8" s="2">
        <f>VLOOKUP(C8,Tabela1[],2,0)*D8</f>
        <v>347600</v>
      </c>
      <c r="F8" t="s">
        <v>17</v>
      </c>
      <c r="I8" t="str" cm="1">
        <f t="array" ref="I8:I10">_xlfn.UNIQUE(Tabela2[Status],0,0)</f>
        <v>PENDENTE</v>
      </c>
      <c r="J8">
        <f>COUNTIF(Tabela2[Status],I8)</f>
        <v>61</v>
      </c>
    </row>
    <row r="9" spans="1:11" x14ac:dyDescent="0.35">
      <c r="A9" s="1">
        <v>46105</v>
      </c>
      <c r="B9" t="s">
        <v>10</v>
      </c>
      <c r="C9" t="s">
        <v>14</v>
      </c>
      <c r="D9">
        <v>682</v>
      </c>
      <c r="E9" s="2">
        <f>VLOOKUP(C9,Tabela1[],2,0)*D9</f>
        <v>272800</v>
      </c>
      <c r="F9" t="s">
        <v>17</v>
      </c>
      <c r="I9" t="str">
        <v>DEVOLVIDO</v>
      </c>
      <c r="J9">
        <f>COUNTIF(Tabela2[Status],I9)</f>
        <v>52</v>
      </c>
    </row>
    <row r="10" spans="1:11" x14ac:dyDescent="0.35">
      <c r="A10" s="1">
        <v>46108</v>
      </c>
      <c r="B10" t="s">
        <v>8</v>
      </c>
      <c r="C10" t="s">
        <v>16</v>
      </c>
      <c r="D10">
        <v>848</v>
      </c>
      <c r="E10" s="2">
        <f>VLOOKUP(C10,Tabela1[],2,0)*D10</f>
        <v>593600</v>
      </c>
      <c r="F10" t="s">
        <v>18</v>
      </c>
      <c r="I10" t="str">
        <v>ENTREGUE</v>
      </c>
      <c r="J10">
        <f>COUNTIF(Tabela2[Status],I10)</f>
        <v>61</v>
      </c>
    </row>
    <row r="11" spans="1:11" x14ac:dyDescent="0.35">
      <c r="A11" s="1">
        <v>46077</v>
      </c>
      <c r="B11" t="s">
        <v>11</v>
      </c>
      <c r="C11" t="s">
        <v>13</v>
      </c>
      <c r="D11">
        <v>618</v>
      </c>
      <c r="E11" s="2">
        <f>VLOOKUP(C11,Tabela1[],2,0)*D11</f>
        <v>61800</v>
      </c>
      <c r="F11" t="s">
        <v>17</v>
      </c>
    </row>
    <row r="12" spans="1:11" x14ac:dyDescent="0.35">
      <c r="A12" s="1">
        <v>46061</v>
      </c>
      <c r="B12" t="s">
        <v>9</v>
      </c>
      <c r="C12" t="s">
        <v>14</v>
      </c>
      <c r="D12">
        <v>1027</v>
      </c>
      <c r="E12" s="2">
        <f>VLOOKUP(C12,Tabela1[],2,0)*D12</f>
        <v>410800</v>
      </c>
      <c r="F12" t="s">
        <v>17</v>
      </c>
      <c r="I12" t="s">
        <v>2</v>
      </c>
      <c r="J12" t="s">
        <v>36</v>
      </c>
      <c r="K12" t="s">
        <v>37</v>
      </c>
    </row>
    <row r="13" spans="1:11" x14ac:dyDescent="0.35">
      <c r="A13" s="1">
        <v>46096</v>
      </c>
      <c r="B13" t="s">
        <v>8</v>
      </c>
      <c r="C13" t="s">
        <v>16</v>
      </c>
      <c r="D13">
        <v>1014</v>
      </c>
      <c r="E13" s="2">
        <f>VLOOKUP(C13,Tabela1[],2,0)*D13</f>
        <v>709800</v>
      </c>
      <c r="F13" t="s">
        <v>18</v>
      </c>
      <c r="I13" t="str" cm="1">
        <f t="array" ref="I13:I16">_xlfn.UNIQUE(Tabela2[Cidade],0,0)</f>
        <v>Barueri</v>
      </c>
      <c r="J13" s="17">
        <f>SUMIF(Tabela2[[#All],[Cidade]],I13,Tabela2[[#All],[Frete(R$)]])</f>
        <v>4444500</v>
      </c>
    </row>
    <row r="14" spans="1:11" x14ac:dyDescent="0.35">
      <c r="A14" s="1">
        <v>46093</v>
      </c>
      <c r="B14" t="s">
        <v>10</v>
      </c>
      <c r="C14" t="s">
        <v>13</v>
      </c>
      <c r="D14">
        <v>421</v>
      </c>
      <c r="E14" s="2">
        <f>VLOOKUP(C14,Tabela1[],2,0)*D14</f>
        <v>42100</v>
      </c>
      <c r="F14" t="s">
        <v>18</v>
      </c>
      <c r="I14" t="str">
        <v>São Paulo</v>
      </c>
      <c r="J14" s="17">
        <f>SUMIF(Tabela2[[#All],[Cidade]],I14,Tabela2[[#All],[Frete(R$)]])</f>
        <v>14040800</v>
      </c>
    </row>
    <row r="15" spans="1:11" x14ac:dyDescent="0.35">
      <c r="A15" s="1">
        <v>46041</v>
      </c>
      <c r="B15" t="s">
        <v>6</v>
      </c>
      <c r="C15" t="s">
        <v>16</v>
      </c>
      <c r="D15">
        <v>1087</v>
      </c>
      <c r="E15" s="2">
        <f>VLOOKUP(C15,Tabela1[],2,0)*D15</f>
        <v>760900</v>
      </c>
      <c r="F15" t="s">
        <v>19</v>
      </c>
      <c r="I15" t="str">
        <v>Jandira</v>
      </c>
      <c r="J15" s="17">
        <f>SUMIF(Tabela2[[#All],[Cidade]],I15,Tabela2[[#All],[Frete(R$)]])</f>
        <v>3721920</v>
      </c>
    </row>
    <row r="16" spans="1:11" x14ac:dyDescent="0.35">
      <c r="A16" s="1">
        <v>46034</v>
      </c>
      <c r="B16" t="s">
        <v>8</v>
      </c>
      <c r="C16" t="s">
        <v>14</v>
      </c>
      <c r="D16">
        <v>664</v>
      </c>
      <c r="E16" s="2">
        <f>VLOOKUP(C16,Tabela1[],2,0)*D16</f>
        <v>265600</v>
      </c>
      <c r="F16" t="s">
        <v>17</v>
      </c>
      <c r="I16" t="str">
        <v>Campinas</v>
      </c>
      <c r="J16" s="17">
        <f>SUMIF(Tabela2[[#All],[Cidade]],I16,Tabela2[[#All],[Frete(R$)]])</f>
        <v>26530700</v>
      </c>
    </row>
    <row r="17" spans="1:6" x14ac:dyDescent="0.35">
      <c r="A17" s="1">
        <v>46088</v>
      </c>
      <c r="B17" t="s">
        <v>12</v>
      </c>
      <c r="C17" t="s">
        <v>14</v>
      </c>
      <c r="D17">
        <v>539</v>
      </c>
      <c r="E17" s="2">
        <f>VLOOKUP(C17,Tabela1[],2,0)*D17</f>
        <v>215600</v>
      </c>
      <c r="F17" t="s">
        <v>18</v>
      </c>
    </row>
    <row r="18" spans="1:6" x14ac:dyDescent="0.35">
      <c r="A18" s="1">
        <v>46108</v>
      </c>
      <c r="B18" t="s">
        <v>12</v>
      </c>
      <c r="C18" t="s">
        <v>14</v>
      </c>
      <c r="D18">
        <v>593</v>
      </c>
      <c r="E18" s="2">
        <f>VLOOKUP(C18,Tabela1[],2,0)*D18</f>
        <v>237200</v>
      </c>
      <c r="F18" t="s">
        <v>19</v>
      </c>
    </row>
    <row r="19" spans="1:6" x14ac:dyDescent="0.35">
      <c r="A19" s="1">
        <v>46051</v>
      </c>
      <c r="B19" t="s">
        <v>9</v>
      </c>
      <c r="C19" t="s">
        <v>15</v>
      </c>
      <c r="D19">
        <v>1198</v>
      </c>
      <c r="E19" s="2">
        <f>VLOOKUP(C19,Tabela1[],2,0)*D19</f>
        <v>143760</v>
      </c>
      <c r="F19" t="s">
        <v>17</v>
      </c>
    </row>
    <row r="20" spans="1:6" x14ac:dyDescent="0.35">
      <c r="A20" s="1">
        <v>46049</v>
      </c>
      <c r="B20" t="s">
        <v>8</v>
      </c>
      <c r="C20" t="s">
        <v>16</v>
      </c>
      <c r="D20">
        <v>896</v>
      </c>
      <c r="E20" s="2">
        <f>VLOOKUP(C20,Tabela1[],2,0)*D20</f>
        <v>627200</v>
      </c>
      <c r="F20" t="s">
        <v>17</v>
      </c>
    </row>
    <row r="21" spans="1:6" x14ac:dyDescent="0.35">
      <c r="A21" s="1">
        <v>46110</v>
      </c>
      <c r="B21" t="s">
        <v>7</v>
      </c>
      <c r="C21" t="s">
        <v>16</v>
      </c>
      <c r="D21">
        <v>446</v>
      </c>
      <c r="E21" s="2">
        <f>VLOOKUP(C21,Tabela1[],2,0)*D21</f>
        <v>312200</v>
      </c>
      <c r="F21" t="s">
        <v>17</v>
      </c>
    </row>
    <row r="22" spans="1:6" x14ac:dyDescent="0.35">
      <c r="A22" s="1">
        <v>46040</v>
      </c>
      <c r="B22" t="s">
        <v>10</v>
      </c>
      <c r="C22" t="s">
        <v>14</v>
      </c>
      <c r="D22">
        <v>1114</v>
      </c>
      <c r="E22" s="2">
        <f>VLOOKUP(C22,Tabela1[],2,0)*D22</f>
        <v>445600</v>
      </c>
      <c r="F22" t="s">
        <v>19</v>
      </c>
    </row>
    <row r="23" spans="1:6" x14ac:dyDescent="0.35">
      <c r="A23" s="1">
        <v>46040</v>
      </c>
      <c r="B23" t="s">
        <v>10</v>
      </c>
      <c r="C23" t="s">
        <v>14</v>
      </c>
      <c r="D23">
        <v>1048</v>
      </c>
      <c r="E23" s="2">
        <f>VLOOKUP(C23,Tabela1[],2,0)*D23</f>
        <v>419200</v>
      </c>
      <c r="F23" t="s">
        <v>18</v>
      </c>
    </row>
    <row r="24" spans="1:6" x14ac:dyDescent="0.35">
      <c r="A24" s="1">
        <v>46069</v>
      </c>
      <c r="B24" t="s">
        <v>10</v>
      </c>
      <c r="C24" t="s">
        <v>16</v>
      </c>
      <c r="D24">
        <v>1114</v>
      </c>
      <c r="E24" s="2">
        <f>VLOOKUP(C24,Tabela1[],2,0)*D24</f>
        <v>779800</v>
      </c>
      <c r="F24" t="s">
        <v>19</v>
      </c>
    </row>
    <row r="25" spans="1:6" x14ac:dyDescent="0.35">
      <c r="A25" s="1">
        <v>46087</v>
      </c>
      <c r="B25" t="s">
        <v>11</v>
      </c>
      <c r="C25" t="s">
        <v>16</v>
      </c>
      <c r="D25">
        <v>1177</v>
      </c>
      <c r="E25" s="2">
        <f>VLOOKUP(C25,Tabela1[],2,0)*D25</f>
        <v>823900</v>
      </c>
      <c r="F25" t="s">
        <v>18</v>
      </c>
    </row>
    <row r="26" spans="1:6" x14ac:dyDescent="0.35">
      <c r="A26" s="1">
        <v>46040</v>
      </c>
      <c r="B26" t="s">
        <v>10</v>
      </c>
      <c r="C26" t="s">
        <v>14</v>
      </c>
      <c r="D26">
        <v>850</v>
      </c>
      <c r="E26" s="2">
        <f>VLOOKUP(C26,Tabela1[],2,0)*D26</f>
        <v>340000</v>
      </c>
      <c r="F26" t="s">
        <v>18</v>
      </c>
    </row>
    <row r="27" spans="1:6" x14ac:dyDescent="0.35">
      <c r="A27" s="1">
        <v>46087</v>
      </c>
      <c r="B27" t="s">
        <v>12</v>
      </c>
      <c r="C27" t="s">
        <v>15</v>
      </c>
      <c r="D27">
        <v>945</v>
      </c>
      <c r="E27" s="2">
        <f>VLOOKUP(C27,Tabela1[],2,0)*D27</f>
        <v>113400</v>
      </c>
      <c r="F27" t="s">
        <v>18</v>
      </c>
    </row>
    <row r="28" spans="1:6" x14ac:dyDescent="0.35">
      <c r="A28" s="1">
        <v>46044</v>
      </c>
      <c r="B28" t="s">
        <v>6</v>
      </c>
      <c r="C28" t="s">
        <v>15</v>
      </c>
      <c r="D28">
        <v>1111</v>
      </c>
      <c r="E28" s="2">
        <f>VLOOKUP(C28,Tabela1[],2,0)*D28</f>
        <v>133320</v>
      </c>
      <c r="F28" t="s">
        <v>17</v>
      </c>
    </row>
    <row r="29" spans="1:6" x14ac:dyDescent="0.35">
      <c r="A29" s="1">
        <v>46053</v>
      </c>
      <c r="B29" t="s">
        <v>8</v>
      </c>
      <c r="C29" t="s">
        <v>13</v>
      </c>
      <c r="D29">
        <v>1189</v>
      </c>
      <c r="E29" s="2">
        <f>VLOOKUP(C29,Tabela1[],2,0)*D29</f>
        <v>118900</v>
      </c>
      <c r="F29" t="s">
        <v>18</v>
      </c>
    </row>
    <row r="30" spans="1:6" x14ac:dyDescent="0.35">
      <c r="A30" s="1">
        <v>46112</v>
      </c>
      <c r="B30" t="s">
        <v>7</v>
      </c>
      <c r="C30" t="s">
        <v>13</v>
      </c>
      <c r="D30">
        <v>431</v>
      </c>
      <c r="E30" s="2">
        <f>VLOOKUP(C30,Tabela1[],2,0)*D30</f>
        <v>43100</v>
      </c>
      <c r="F30" t="s">
        <v>19</v>
      </c>
    </row>
    <row r="31" spans="1:6" x14ac:dyDescent="0.35">
      <c r="A31" s="1">
        <v>46040</v>
      </c>
      <c r="B31" t="s">
        <v>10</v>
      </c>
      <c r="C31" t="s">
        <v>16</v>
      </c>
      <c r="D31">
        <v>624</v>
      </c>
      <c r="E31" s="2">
        <f>VLOOKUP(C31,Tabela1[],2,0)*D31</f>
        <v>436800</v>
      </c>
      <c r="F31" t="s">
        <v>19</v>
      </c>
    </row>
    <row r="32" spans="1:6" x14ac:dyDescent="0.35">
      <c r="A32" s="1">
        <v>46105</v>
      </c>
      <c r="B32" t="s">
        <v>11</v>
      </c>
      <c r="C32" t="s">
        <v>14</v>
      </c>
      <c r="D32">
        <v>937</v>
      </c>
      <c r="E32" s="2">
        <f>VLOOKUP(C32,Tabela1[],2,0)*D32</f>
        <v>374800</v>
      </c>
      <c r="F32" t="s">
        <v>17</v>
      </c>
    </row>
    <row r="33" spans="1:6" x14ac:dyDescent="0.35">
      <c r="A33" s="1">
        <v>46088</v>
      </c>
      <c r="B33" t="s">
        <v>11</v>
      </c>
      <c r="C33" t="s">
        <v>13</v>
      </c>
      <c r="D33">
        <v>702</v>
      </c>
      <c r="E33" s="2">
        <f>VLOOKUP(C33,Tabela1[],2,0)*D33</f>
        <v>70200</v>
      </c>
      <c r="F33" t="s">
        <v>17</v>
      </c>
    </row>
    <row r="34" spans="1:6" x14ac:dyDescent="0.35">
      <c r="A34" s="1">
        <v>46048</v>
      </c>
      <c r="B34" t="s">
        <v>12</v>
      </c>
      <c r="C34" t="s">
        <v>16</v>
      </c>
      <c r="D34">
        <v>469</v>
      </c>
      <c r="E34" s="2">
        <f>VLOOKUP(C34,Tabela1[],2,0)*D34</f>
        <v>328300</v>
      </c>
      <c r="F34" t="s">
        <v>19</v>
      </c>
    </row>
    <row r="35" spans="1:6" x14ac:dyDescent="0.35">
      <c r="A35" s="1">
        <v>46077</v>
      </c>
      <c r="B35" t="s">
        <v>8</v>
      </c>
      <c r="C35" t="s">
        <v>16</v>
      </c>
      <c r="D35">
        <v>1110</v>
      </c>
      <c r="E35" s="2">
        <f>VLOOKUP(C35,Tabela1[],2,0)*D35</f>
        <v>777000</v>
      </c>
      <c r="F35" t="s">
        <v>18</v>
      </c>
    </row>
    <row r="36" spans="1:6" x14ac:dyDescent="0.35">
      <c r="A36" s="1">
        <v>46053</v>
      </c>
      <c r="B36" t="s">
        <v>12</v>
      </c>
      <c r="C36" t="s">
        <v>16</v>
      </c>
      <c r="D36">
        <v>948</v>
      </c>
      <c r="E36" s="2">
        <f>VLOOKUP(C36,Tabela1[],2,0)*D36</f>
        <v>663600</v>
      </c>
      <c r="F36" t="s">
        <v>18</v>
      </c>
    </row>
    <row r="37" spans="1:6" x14ac:dyDescent="0.35">
      <c r="A37" s="1">
        <v>46111</v>
      </c>
      <c r="B37" t="s">
        <v>11</v>
      </c>
      <c r="C37" t="s">
        <v>16</v>
      </c>
      <c r="D37">
        <v>861</v>
      </c>
      <c r="E37" s="2">
        <f>VLOOKUP(C37,Tabela1[],2,0)*D37</f>
        <v>602700</v>
      </c>
      <c r="F37" t="s">
        <v>18</v>
      </c>
    </row>
    <row r="38" spans="1:6" x14ac:dyDescent="0.35">
      <c r="A38" s="1">
        <v>46054</v>
      </c>
      <c r="B38" t="s">
        <v>7</v>
      </c>
      <c r="C38" t="s">
        <v>15</v>
      </c>
      <c r="D38">
        <v>1149</v>
      </c>
      <c r="E38" s="2">
        <f>VLOOKUP(C38,Tabela1[],2,0)*D38</f>
        <v>137880</v>
      </c>
      <c r="F38" t="s">
        <v>19</v>
      </c>
    </row>
    <row r="39" spans="1:6" x14ac:dyDescent="0.35">
      <c r="A39" s="1">
        <v>46034</v>
      </c>
      <c r="B39" t="s">
        <v>8</v>
      </c>
      <c r="C39" t="s">
        <v>14</v>
      </c>
      <c r="D39">
        <v>728</v>
      </c>
      <c r="E39" s="2">
        <f>VLOOKUP(C39,Tabela1[],2,0)*D39</f>
        <v>291200</v>
      </c>
      <c r="F39" t="s">
        <v>19</v>
      </c>
    </row>
    <row r="40" spans="1:6" x14ac:dyDescent="0.35">
      <c r="A40" s="1">
        <v>46057</v>
      </c>
      <c r="B40" t="s">
        <v>7</v>
      </c>
      <c r="C40" t="s">
        <v>13</v>
      </c>
      <c r="D40">
        <v>688</v>
      </c>
      <c r="E40" s="2">
        <f>VLOOKUP(C40,Tabela1[],2,0)*D40</f>
        <v>68800</v>
      </c>
      <c r="F40" t="s">
        <v>18</v>
      </c>
    </row>
    <row r="41" spans="1:6" x14ac:dyDescent="0.35">
      <c r="A41" s="1">
        <v>46054</v>
      </c>
      <c r="B41" t="s">
        <v>9</v>
      </c>
      <c r="C41" t="s">
        <v>13</v>
      </c>
      <c r="D41">
        <v>1074</v>
      </c>
      <c r="E41" s="2">
        <f>VLOOKUP(C41,Tabela1[],2,0)*D41</f>
        <v>107400</v>
      </c>
      <c r="F41" t="s">
        <v>18</v>
      </c>
    </row>
    <row r="42" spans="1:6" x14ac:dyDescent="0.35">
      <c r="A42" s="1">
        <v>46103</v>
      </c>
      <c r="B42" t="s">
        <v>7</v>
      </c>
      <c r="C42" t="s">
        <v>14</v>
      </c>
      <c r="D42">
        <v>566</v>
      </c>
      <c r="E42" s="2">
        <f>VLOOKUP(C42,Tabela1[],2,0)*D42</f>
        <v>226400</v>
      </c>
      <c r="F42" t="s">
        <v>17</v>
      </c>
    </row>
    <row r="43" spans="1:6" x14ac:dyDescent="0.35">
      <c r="A43" s="1">
        <v>46112</v>
      </c>
      <c r="B43" t="s">
        <v>9</v>
      </c>
      <c r="C43" t="s">
        <v>16</v>
      </c>
      <c r="D43">
        <v>566</v>
      </c>
      <c r="E43" s="2">
        <f>VLOOKUP(C43,Tabela1[],2,0)*D43</f>
        <v>396200</v>
      </c>
      <c r="F43" t="s">
        <v>17</v>
      </c>
    </row>
    <row r="44" spans="1:6" x14ac:dyDescent="0.35">
      <c r="A44" s="1">
        <v>46074</v>
      </c>
      <c r="B44" t="s">
        <v>7</v>
      </c>
      <c r="C44" t="s">
        <v>15</v>
      </c>
      <c r="D44">
        <v>728</v>
      </c>
      <c r="E44" s="2">
        <f>VLOOKUP(C44,Tabela1[],2,0)*D44</f>
        <v>87360</v>
      </c>
      <c r="F44" t="s">
        <v>19</v>
      </c>
    </row>
    <row r="45" spans="1:6" x14ac:dyDescent="0.35">
      <c r="A45" s="1">
        <v>46045</v>
      </c>
      <c r="B45" t="s">
        <v>10</v>
      </c>
      <c r="C45" t="s">
        <v>13</v>
      </c>
      <c r="D45">
        <v>973</v>
      </c>
      <c r="E45" s="2">
        <f>VLOOKUP(C45,Tabela1[],2,0)*D45</f>
        <v>97300</v>
      </c>
      <c r="F45" t="s">
        <v>18</v>
      </c>
    </row>
    <row r="46" spans="1:6" x14ac:dyDescent="0.35">
      <c r="A46" s="1">
        <v>46093</v>
      </c>
      <c r="B46" t="s">
        <v>12</v>
      </c>
      <c r="C46" t="s">
        <v>14</v>
      </c>
      <c r="D46">
        <v>1064</v>
      </c>
      <c r="E46" s="2">
        <f>VLOOKUP(C46,Tabela1[],2,0)*D46</f>
        <v>425600</v>
      </c>
      <c r="F46" t="s">
        <v>17</v>
      </c>
    </row>
    <row r="47" spans="1:6" x14ac:dyDescent="0.35">
      <c r="A47" s="1">
        <v>46082</v>
      </c>
      <c r="B47" t="s">
        <v>10</v>
      </c>
      <c r="C47" t="s">
        <v>14</v>
      </c>
      <c r="D47">
        <v>800</v>
      </c>
      <c r="E47" s="2">
        <f>VLOOKUP(C47,Tabela1[],2,0)*D47</f>
        <v>320000</v>
      </c>
      <c r="F47" t="s">
        <v>19</v>
      </c>
    </row>
    <row r="48" spans="1:6" x14ac:dyDescent="0.35">
      <c r="A48" s="1">
        <v>46043</v>
      </c>
      <c r="B48" t="s">
        <v>7</v>
      </c>
      <c r="C48" t="s">
        <v>15</v>
      </c>
      <c r="D48">
        <v>1198</v>
      </c>
      <c r="E48" s="2">
        <f>VLOOKUP(C48,Tabela1[],2,0)*D48</f>
        <v>143760</v>
      </c>
      <c r="F48" t="s">
        <v>17</v>
      </c>
    </row>
    <row r="49" spans="1:6" x14ac:dyDescent="0.35">
      <c r="A49" s="1">
        <v>46083</v>
      </c>
      <c r="B49" t="s">
        <v>11</v>
      </c>
      <c r="C49" t="s">
        <v>13</v>
      </c>
      <c r="D49">
        <v>992</v>
      </c>
      <c r="E49" s="2">
        <f>VLOOKUP(C49,Tabela1[],2,0)*D49</f>
        <v>99200</v>
      </c>
      <c r="F49" t="s">
        <v>19</v>
      </c>
    </row>
    <row r="50" spans="1:6" x14ac:dyDescent="0.35">
      <c r="A50" s="1">
        <v>46103</v>
      </c>
      <c r="B50" t="s">
        <v>6</v>
      </c>
      <c r="C50" t="s">
        <v>16</v>
      </c>
      <c r="D50">
        <v>1017</v>
      </c>
      <c r="E50" s="2">
        <f>VLOOKUP(C50,Tabela1[],2,0)*D50</f>
        <v>711900</v>
      </c>
      <c r="F50" t="s">
        <v>19</v>
      </c>
    </row>
    <row r="51" spans="1:6" x14ac:dyDescent="0.35">
      <c r="A51" s="1">
        <v>46043</v>
      </c>
      <c r="B51" t="s">
        <v>11</v>
      </c>
      <c r="C51" t="s">
        <v>15</v>
      </c>
      <c r="D51">
        <v>640</v>
      </c>
      <c r="E51" s="2">
        <f>VLOOKUP(C51,Tabela1[],2,0)*D51</f>
        <v>76800</v>
      </c>
      <c r="F51" t="s">
        <v>17</v>
      </c>
    </row>
    <row r="52" spans="1:6" x14ac:dyDescent="0.35">
      <c r="A52" s="1">
        <v>46042</v>
      </c>
      <c r="B52" t="s">
        <v>10</v>
      </c>
      <c r="C52" t="s">
        <v>13</v>
      </c>
      <c r="D52">
        <v>995</v>
      </c>
      <c r="E52" s="2">
        <f>VLOOKUP(C52,Tabela1[],2,0)*D52</f>
        <v>99500</v>
      </c>
      <c r="F52" t="s">
        <v>17</v>
      </c>
    </row>
    <row r="53" spans="1:6" x14ac:dyDescent="0.35">
      <c r="A53" s="1">
        <v>46044</v>
      </c>
      <c r="B53" t="s">
        <v>6</v>
      </c>
      <c r="C53" t="s">
        <v>16</v>
      </c>
      <c r="D53">
        <v>803</v>
      </c>
      <c r="E53" s="2">
        <f>VLOOKUP(C53,Tabela1[],2,0)*D53</f>
        <v>562100</v>
      </c>
      <c r="F53" t="s">
        <v>18</v>
      </c>
    </row>
    <row r="54" spans="1:6" x14ac:dyDescent="0.35">
      <c r="A54" s="1">
        <v>46085</v>
      </c>
      <c r="B54" t="s">
        <v>12</v>
      </c>
      <c r="C54" t="s">
        <v>16</v>
      </c>
      <c r="D54">
        <v>470</v>
      </c>
      <c r="E54" s="2">
        <f>VLOOKUP(C54,Tabela1[],2,0)*D54</f>
        <v>329000</v>
      </c>
      <c r="F54" t="s">
        <v>18</v>
      </c>
    </row>
    <row r="55" spans="1:6" x14ac:dyDescent="0.35">
      <c r="A55" s="1">
        <v>46039</v>
      </c>
      <c r="B55" t="s">
        <v>12</v>
      </c>
      <c r="C55" t="s">
        <v>13</v>
      </c>
      <c r="D55">
        <v>590</v>
      </c>
      <c r="E55" s="2">
        <f>VLOOKUP(C55,Tabela1[],2,0)*D55</f>
        <v>59000</v>
      </c>
      <c r="F55" t="s">
        <v>18</v>
      </c>
    </row>
    <row r="56" spans="1:6" x14ac:dyDescent="0.35">
      <c r="A56" s="1">
        <v>46068</v>
      </c>
      <c r="B56" t="s">
        <v>11</v>
      </c>
      <c r="C56" t="s">
        <v>14</v>
      </c>
      <c r="D56">
        <v>428</v>
      </c>
      <c r="E56" s="2">
        <f>VLOOKUP(C56,Tabela1[],2,0)*D56</f>
        <v>171200</v>
      </c>
      <c r="F56" t="s">
        <v>19</v>
      </c>
    </row>
    <row r="57" spans="1:6" x14ac:dyDescent="0.35">
      <c r="A57" s="1">
        <v>46109</v>
      </c>
      <c r="B57" t="s">
        <v>6</v>
      </c>
      <c r="C57" t="s">
        <v>14</v>
      </c>
      <c r="D57">
        <v>978</v>
      </c>
      <c r="E57" s="2">
        <f>VLOOKUP(C57,Tabela1[],2,0)*D57</f>
        <v>391200</v>
      </c>
      <c r="F57" t="s">
        <v>19</v>
      </c>
    </row>
    <row r="58" spans="1:6" x14ac:dyDescent="0.35">
      <c r="A58" s="1">
        <v>46069</v>
      </c>
      <c r="B58" t="s">
        <v>6</v>
      </c>
      <c r="C58" t="s">
        <v>16</v>
      </c>
      <c r="D58">
        <v>881</v>
      </c>
      <c r="E58" s="2">
        <f>VLOOKUP(C58,Tabela1[],2,0)*D58</f>
        <v>616700</v>
      </c>
      <c r="F58" t="s">
        <v>19</v>
      </c>
    </row>
    <row r="59" spans="1:6" x14ac:dyDescent="0.35">
      <c r="A59" s="1">
        <v>46083</v>
      </c>
      <c r="B59" t="s">
        <v>12</v>
      </c>
      <c r="C59" t="s">
        <v>15</v>
      </c>
      <c r="D59">
        <v>1084</v>
      </c>
      <c r="E59" s="2">
        <f>VLOOKUP(C59,Tabela1[],2,0)*D59</f>
        <v>130080</v>
      </c>
      <c r="F59" t="s">
        <v>18</v>
      </c>
    </row>
    <row r="60" spans="1:6" x14ac:dyDescent="0.35">
      <c r="A60" s="1">
        <v>46058</v>
      </c>
      <c r="B60" t="s">
        <v>6</v>
      </c>
      <c r="C60" t="s">
        <v>15</v>
      </c>
      <c r="D60">
        <v>663</v>
      </c>
      <c r="E60" s="2">
        <f>VLOOKUP(C60,Tabela1[],2,0)*D60</f>
        <v>79560</v>
      </c>
      <c r="F60" t="s">
        <v>19</v>
      </c>
    </row>
    <row r="61" spans="1:6" x14ac:dyDescent="0.35">
      <c r="A61" s="1">
        <v>46060</v>
      </c>
      <c r="B61" t="s">
        <v>10</v>
      </c>
      <c r="C61" t="s">
        <v>16</v>
      </c>
      <c r="D61">
        <v>578</v>
      </c>
      <c r="E61" s="2">
        <f>VLOOKUP(C61,Tabela1[],2,0)*D61</f>
        <v>404600</v>
      </c>
      <c r="F61" t="s">
        <v>19</v>
      </c>
    </row>
    <row r="62" spans="1:6" x14ac:dyDescent="0.35">
      <c r="A62" s="1">
        <v>46067</v>
      </c>
      <c r="B62" t="s">
        <v>9</v>
      </c>
      <c r="C62" t="s">
        <v>16</v>
      </c>
      <c r="D62">
        <v>1010</v>
      </c>
      <c r="E62" s="2">
        <f>VLOOKUP(C62,Tabela1[],2,0)*D62</f>
        <v>707000</v>
      </c>
      <c r="F62" t="s">
        <v>18</v>
      </c>
    </row>
    <row r="63" spans="1:6" x14ac:dyDescent="0.35">
      <c r="A63" s="1">
        <v>46078</v>
      </c>
      <c r="B63" t="s">
        <v>11</v>
      </c>
      <c r="C63" t="s">
        <v>16</v>
      </c>
      <c r="D63">
        <v>1035</v>
      </c>
      <c r="E63" s="2">
        <f>VLOOKUP(C63,Tabela1[],2,0)*D63</f>
        <v>724500</v>
      </c>
      <c r="F63" t="s">
        <v>19</v>
      </c>
    </row>
    <row r="64" spans="1:6" x14ac:dyDescent="0.35">
      <c r="A64" s="1">
        <v>46040</v>
      </c>
      <c r="B64" t="s">
        <v>9</v>
      </c>
      <c r="C64" t="s">
        <v>14</v>
      </c>
      <c r="D64">
        <v>1025</v>
      </c>
      <c r="E64" s="2">
        <f>VLOOKUP(C64,Tabela1[],2,0)*D64</f>
        <v>410000</v>
      </c>
      <c r="F64" t="s">
        <v>17</v>
      </c>
    </row>
    <row r="65" spans="1:6" x14ac:dyDescent="0.35">
      <c r="A65" s="1">
        <v>46051</v>
      </c>
      <c r="B65" t="s">
        <v>7</v>
      </c>
      <c r="C65" t="s">
        <v>16</v>
      </c>
      <c r="D65">
        <v>664</v>
      </c>
      <c r="E65" s="2">
        <f>VLOOKUP(C65,Tabela1[],2,0)*D65</f>
        <v>464800</v>
      </c>
      <c r="F65" t="s">
        <v>19</v>
      </c>
    </row>
    <row r="66" spans="1:6" x14ac:dyDescent="0.35">
      <c r="A66" s="1">
        <v>46073</v>
      </c>
      <c r="B66" t="s">
        <v>11</v>
      </c>
      <c r="C66" t="s">
        <v>16</v>
      </c>
      <c r="D66">
        <v>514</v>
      </c>
      <c r="E66" s="2">
        <f>VLOOKUP(C66,Tabela1[],2,0)*D66</f>
        <v>359800</v>
      </c>
      <c r="F66" t="s">
        <v>19</v>
      </c>
    </row>
    <row r="67" spans="1:6" x14ac:dyDescent="0.35">
      <c r="A67" s="1">
        <v>46104</v>
      </c>
      <c r="B67" t="s">
        <v>8</v>
      </c>
      <c r="C67" t="s">
        <v>15</v>
      </c>
      <c r="D67">
        <v>475</v>
      </c>
      <c r="E67" s="2">
        <f>VLOOKUP(C67,Tabela1[],2,0)*D67</f>
        <v>57000</v>
      </c>
      <c r="F67" t="s">
        <v>19</v>
      </c>
    </row>
    <row r="68" spans="1:6" x14ac:dyDescent="0.35">
      <c r="A68" s="1">
        <v>46071</v>
      </c>
      <c r="B68" t="s">
        <v>10</v>
      </c>
      <c r="C68" t="s">
        <v>14</v>
      </c>
      <c r="D68">
        <v>680</v>
      </c>
      <c r="E68" s="2">
        <f>VLOOKUP(C68,Tabela1[],2,0)*D68</f>
        <v>272000</v>
      </c>
      <c r="F68" t="s">
        <v>18</v>
      </c>
    </row>
    <row r="69" spans="1:6" x14ac:dyDescent="0.35">
      <c r="A69" s="1">
        <v>46092</v>
      </c>
      <c r="B69" t="s">
        <v>8</v>
      </c>
      <c r="C69" t="s">
        <v>13</v>
      </c>
      <c r="D69">
        <v>829</v>
      </c>
      <c r="E69" s="2">
        <f>VLOOKUP(C69,Tabela1[],2,0)*D69</f>
        <v>82900</v>
      </c>
      <c r="F69" t="s">
        <v>19</v>
      </c>
    </row>
    <row r="70" spans="1:6" x14ac:dyDescent="0.35">
      <c r="A70" s="1">
        <v>46059</v>
      </c>
      <c r="B70" t="s">
        <v>10</v>
      </c>
      <c r="C70" t="s">
        <v>14</v>
      </c>
      <c r="D70">
        <v>1163</v>
      </c>
      <c r="E70" s="2">
        <f>VLOOKUP(C70,Tabela1[],2,0)*D70</f>
        <v>465200</v>
      </c>
      <c r="F70" t="s">
        <v>18</v>
      </c>
    </row>
    <row r="71" spans="1:6" x14ac:dyDescent="0.35">
      <c r="A71" s="1">
        <v>46111</v>
      </c>
      <c r="B71" t="s">
        <v>7</v>
      </c>
      <c r="C71" t="s">
        <v>16</v>
      </c>
      <c r="D71">
        <v>722</v>
      </c>
      <c r="E71" s="2">
        <f>VLOOKUP(C71,Tabela1[],2,0)*D71</f>
        <v>505400</v>
      </c>
      <c r="F71" t="s">
        <v>19</v>
      </c>
    </row>
    <row r="72" spans="1:6" x14ac:dyDescent="0.35">
      <c r="A72" s="1">
        <v>46096</v>
      </c>
      <c r="B72" t="s">
        <v>11</v>
      </c>
      <c r="C72" t="s">
        <v>13</v>
      </c>
      <c r="D72">
        <v>841</v>
      </c>
      <c r="E72" s="2">
        <f>VLOOKUP(C72,Tabela1[],2,0)*D72</f>
        <v>84100</v>
      </c>
      <c r="F72" t="s">
        <v>19</v>
      </c>
    </row>
    <row r="73" spans="1:6" x14ac:dyDescent="0.35">
      <c r="A73" s="1">
        <v>46105</v>
      </c>
      <c r="B73" t="s">
        <v>6</v>
      </c>
      <c r="C73" t="s">
        <v>13</v>
      </c>
      <c r="D73">
        <v>1169</v>
      </c>
      <c r="E73" s="2">
        <f>VLOOKUP(C73,Tabela1[],2,0)*D73</f>
        <v>116900</v>
      </c>
      <c r="F73" t="s">
        <v>17</v>
      </c>
    </row>
    <row r="74" spans="1:6" x14ac:dyDescent="0.35">
      <c r="A74" s="1">
        <v>46066</v>
      </c>
      <c r="B74" t="s">
        <v>12</v>
      </c>
      <c r="C74" t="s">
        <v>16</v>
      </c>
      <c r="D74">
        <v>1055</v>
      </c>
      <c r="E74" s="2">
        <f>VLOOKUP(C74,Tabela1[],2,0)*D74</f>
        <v>738500</v>
      </c>
      <c r="F74" t="s">
        <v>18</v>
      </c>
    </row>
    <row r="75" spans="1:6" x14ac:dyDescent="0.35">
      <c r="A75" s="1">
        <v>46086</v>
      </c>
      <c r="B75" t="s">
        <v>6</v>
      </c>
      <c r="C75" t="s">
        <v>13</v>
      </c>
      <c r="D75">
        <v>997</v>
      </c>
      <c r="E75" s="2">
        <f>VLOOKUP(C75,Tabela1[],2,0)*D75</f>
        <v>99700</v>
      </c>
      <c r="F75" t="s">
        <v>18</v>
      </c>
    </row>
    <row r="76" spans="1:6" x14ac:dyDescent="0.35">
      <c r="A76" s="1">
        <v>46044</v>
      </c>
      <c r="B76" t="s">
        <v>12</v>
      </c>
      <c r="C76" t="s">
        <v>14</v>
      </c>
      <c r="D76">
        <v>1024</v>
      </c>
      <c r="E76" s="2">
        <f>VLOOKUP(C76,Tabela1[],2,0)*D76</f>
        <v>409600</v>
      </c>
      <c r="F76" t="s">
        <v>17</v>
      </c>
    </row>
    <row r="77" spans="1:6" x14ac:dyDescent="0.35">
      <c r="A77" s="1">
        <v>46090</v>
      </c>
      <c r="B77" t="s">
        <v>8</v>
      </c>
      <c r="C77" t="s">
        <v>13</v>
      </c>
      <c r="D77">
        <v>760</v>
      </c>
      <c r="E77" s="2">
        <f>VLOOKUP(C77,Tabela1[],2,0)*D77</f>
        <v>76000</v>
      </c>
      <c r="F77" t="s">
        <v>17</v>
      </c>
    </row>
    <row r="78" spans="1:6" x14ac:dyDescent="0.35">
      <c r="A78" s="1">
        <v>46068</v>
      </c>
      <c r="B78" t="s">
        <v>12</v>
      </c>
      <c r="C78" t="s">
        <v>14</v>
      </c>
      <c r="D78">
        <v>1077</v>
      </c>
      <c r="E78" s="2">
        <f>VLOOKUP(C78,Tabela1[],2,0)*D78</f>
        <v>430800</v>
      </c>
      <c r="F78" t="s">
        <v>19</v>
      </c>
    </row>
    <row r="79" spans="1:6" x14ac:dyDescent="0.35">
      <c r="A79" s="1">
        <v>46110</v>
      </c>
      <c r="B79" t="s">
        <v>7</v>
      </c>
      <c r="C79" t="s">
        <v>13</v>
      </c>
      <c r="D79">
        <v>1042</v>
      </c>
      <c r="E79" s="2">
        <f>VLOOKUP(C79,Tabela1[],2,0)*D79</f>
        <v>104200</v>
      </c>
      <c r="F79" t="s">
        <v>18</v>
      </c>
    </row>
    <row r="80" spans="1:6" x14ac:dyDescent="0.35">
      <c r="A80" s="1">
        <v>46061</v>
      </c>
      <c r="B80" t="s">
        <v>8</v>
      </c>
      <c r="C80" t="s">
        <v>15</v>
      </c>
      <c r="D80">
        <v>1159</v>
      </c>
      <c r="E80" s="2">
        <f>VLOOKUP(C80,Tabela1[],2,0)*D80</f>
        <v>139080</v>
      </c>
      <c r="F80" t="s">
        <v>19</v>
      </c>
    </row>
    <row r="81" spans="1:6" x14ac:dyDescent="0.35">
      <c r="A81" s="1">
        <v>46094</v>
      </c>
      <c r="B81" t="s">
        <v>9</v>
      </c>
      <c r="C81" t="s">
        <v>15</v>
      </c>
      <c r="D81">
        <v>932</v>
      </c>
      <c r="E81" s="2">
        <f>VLOOKUP(C81,Tabela1[],2,0)*D81</f>
        <v>111840</v>
      </c>
      <c r="F81" t="s">
        <v>18</v>
      </c>
    </row>
    <row r="82" spans="1:6" x14ac:dyDescent="0.35">
      <c r="A82" s="1">
        <v>46083</v>
      </c>
      <c r="B82" t="s">
        <v>9</v>
      </c>
      <c r="C82" t="s">
        <v>16</v>
      </c>
      <c r="D82">
        <v>770</v>
      </c>
      <c r="E82" s="2">
        <f>VLOOKUP(C82,Tabela1[],2,0)*D82</f>
        <v>539000</v>
      </c>
      <c r="F82" t="s">
        <v>19</v>
      </c>
    </row>
    <row r="83" spans="1:6" x14ac:dyDescent="0.35">
      <c r="A83" s="1">
        <v>46099</v>
      </c>
      <c r="B83" t="s">
        <v>9</v>
      </c>
      <c r="C83" t="s">
        <v>16</v>
      </c>
      <c r="D83">
        <v>548</v>
      </c>
      <c r="E83" s="2">
        <f>VLOOKUP(C83,Tabela1[],2,0)*D83</f>
        <v>383600</v>
      </c>
      <c r="F83" t="s">
        <v>19</v>
      </c>
    </row>
    <row r="84" spans="1:6" x14ac:dyDescent="0.35">
      <c r="A84" s="1">
        <v>46037</v>
      </c>
      <c r="B84" t="s">
        <v>8</v>
      </c>
      <c r="C84" t="s">
        <v>15</v>
      </c>
      <c r="D84">
        <v>1070</v>
      </c>
      <c r="E84" s="2">
        <f>VLOOKUP(C84,Tabela1[],2,0)*D84</f>
        <v>128400</v>
      </c>
      <c r="F84" t="s">
        <v>19</v>
      </c>
    </row>
    <row r="85" spans="1:6" x14ac:dyDescent="0.35">
      <c r="A85" s="1">
        <v>46052</v>
      </c>
      <c r="B85" t="s">
        <v>12</v>
      </c>
      <c r="C85" t="s">
        <v>15</v>
      </c>
      <c r="D85">
        <v>1003</v>
      </c>
      <c r="E85" s="2">
        <f>VLOOKUP(C85,Tabela1[],2,0)*D85</f>
        <v>120360</v>
      </c>
      <c r="F85" t="s">
        <v>17</v>
      </c>
    </row>
    <row r="86" spans="1:6" x14ac:dyDescent="0.35">
      <c r="A86" s="1">
        <v>46096</v>
      </c>
      <c r="B86" t="s">
        <v>12</v>
      </c>
      <c r="C86" t="s">
        <v>16</v>
      </c>
      <c r="D86">
        <v>666</v>
      </c>
      <c r="E86" s="2">
        <f>VLOOKUP(C86,Tabela1[],2,0)*D86</f>
        <v>466200</v>
      </c>
      <c r="F86" t="s">
        <v>18</v>
      </c>
    </row>
    <row r="87" spans="1:6" x14ac:dyDescent="0.35">
      <c r="A87" s="1">
        <v>46097</v>
      </c>
      <c r="B87" t="s">
        <v>6</v>
      </c>
      <c r="C87" t="s">
        <v>14</v>
      </c>
      <c r="D87">
        <v>1015</v>
      </c>
      <c r="E87" s="2">
        <f>VLOOKUP(C87,Tabela1[],2,0)*D87</f>
        <v>406000</v>
      </c>
      <c r="F87" t="s">
        <v>17</v>
      </c>
    </row>
    <row r="88" spans="1:6" x14ac:dyDescent="0.35">
      <c r="A88" s="1">
        <v>46104</v>
      </c>
      <c r="B88" t="s">
        <v>8</v>
      </c>
      <c r="C88" t="s">
        <v>13</v>
      </c>
      <c r="D88">
        <v>625</v>
      </c>
      <c r="E88" s="2">
        <f>VLOOKUP(C88,Tabela1[],2,0)*D88</f>
        <v>62500</v>
      </c>
      <c r="F88" t="s">
        <v>19</v>
      </c>
    </row>
    <row r="89" spans="1:6" x14ac:dyDescent="0.35">
      <c r="A89" s="1">
        <v>46069</v>
      </c>
      <c r="B89" t="s">
        <v>9</v>
      </c>
      <c r="C89" t="s">
        <v>13</v>
      </c>
      <c r="D89">
        <v>829</v>
      </c>
      <c r="E89" s="2">
        <f>VLOOKUP(C89,Tabela1[],2,0)*D89</f>
        <v>82900</v>
      </c>
      <c r="F89" t="s">
        <v>17</v>
      </c>
    </row>
    <row r="90" spans="1:6" x14ac:dyDescent="0.35">
      <c r="A90" s="1">
        <v>46053</v>
      </c>
      <c r="B90" t="s">
        <v>12</v>
      </c>
      <c r="C90" t="s">
        <v>13</v>
      </c>
      <c r="D90">
        <v>1105</v>
      </c>
      <c r="E90" s="2">
        <f>VLOOKUP(C90,Tabela1[],2,0)*D90</f>
        <v>110500</v>
      </c>
      <c r="F90" t="s">
        <v>18</v>
      </c>
    </row>
    <row r="91" spans="1:6" x14ac:dyDescent="0.35">
      <c r="A91" s="1">
        <v>46062</v>
      </c>
      <c r="B91" t="s">
        <v>12</v>
      </c>
      <c r="C91" t="s">
        <v>13</v>
      </c>
      <c r="D91">
        <v>870</v>
      </c>
      <c r="E91" s="2">
        <f>VLOOKUP(C91,Tabela1[],2,0)*D91</f>
        <v>87000</v>
      </c>
      <c r="F91" t="s">
        <v>18</v>
      </c>
    </row>
    <row r="92" spans="1:6" x14ac:dyDescent="0.35">
      <c r="A92" s="1">
        <v>46085</v>
      </c>
      <c r="B92" t="s">
        <v>7</v>
      </c>
      <c r="C92" t="s">
        <v>15</v>
      </c>
      <c r="D92">
        <v>1171</v>
      </c>
      <c r="E92" s="2">
        <f>VLOOKUP(C92,Tabela1[],2,0)*D92</f>
        <v>140520</v>
      </c>
      <c r="F92" t="s">
        <v>19</v>
      </c>
    </row>
    <row r="93" spans="1:6" x14ac:dyDescent="0.35">
      <c r="A93" s="1">
        <v>46109</v>
      </c>
      <c r="B93" t="s">
        <v>6</v>
      </c>
      <c r="C93" t="s">
        <v>15</v>
      </c>
      <c r="D93">
        <v>892</v>
      </c>
      <c r="E93" s="2">
        <f>VLOOKUP(C93,Tabela1[],2,0)*D93</f>
        <v>107040</v>
      </c>
      <c r="F93" t="s">
        <v>17</v>
      </c>
    </row>
    <row r="94" spans="1:6" x14ac:dyDescent="0.35">
      <c r="A94" s="1">
        <v>46066</v>
      </c>
      <c r="B94" t="s">
        <v>6</v>
      </c>
      <c r="C94" t="s">
        <v>13</v>
      </c>
      <c r="D94">
        <v>1093</v>
      </c>
      <c r="E94" s="2">
        <f>VLOOKUP(C94,Tabela1[],2,0)*D94</f>
        <v>109300</v>
      </c>
      <c r="F94" t="s">
        <v>18</v>
      </c>
    </row>
    <row r="95" spans="1:6" x14ac:dyDescent="0.35">
      <c r="A95" s="1">
        <v>46072</v>
      </c>
      <c r="B95" t="s">
        <v>8</v>
      </c>
      <c r="C95" t="s">
        <v>15</v>
      </c>
      <c r="D95">
        <v>609</v>
      </c>
      <c r="E95" s="2">
        <f>VLOOKUP(C95,Tabela1[],2,0)*D95</f>
        <v>73080</v>
      </c>
      <c r="F95" t="s">
        <v>19</v>
      </c>
    </row>
    <row r="96" spans="1:6" x14ac:dyDescent="0.35">
      <c r="A96" s="1">
        <v>46070</v>
      </c>
      <c r="B96" t="s">
        <v>9</v>
      </c>
      <c r="C96" t="s">
        <v>15</v>
      </c>
      <c r="D96">
        <v>736</v>
      </c>
      <c r="E96" s="2">
        <f>VLOOKUP(C96,Tabela1[],2,0)*D96</f>
        <v>88320</v>
      </c>
      <c r="F96" t="s">
        <v>18</v>
      </c>
    </row>
    <row r="97" spans="1:6" x14ac:dyDescent="0.35">
      <c r="A97" s="1">
        <v>46096</v>
      </c>
      <c r="B97" t="s">
        <v>8</v>
      </c>
      <c r="C97" t="s">
        <v>13</v>
      </c>
      <c r="D97">
        <v>865</v>
      </c>
      <c r="E97" s="2">
        <f>VLOOKUP(C97,Tabela1[],2,0)*D97</f>
        <v>86500</v>
      </c>
      <c r="F97" t="s">
        <v>19</v>
      </c>
    </row>
    <row r="98" spans="1:6" x14ac:dyDescent="0.35">
      <c r="A98" s="1">
        <v>46056</v>
      </c>
      <c r="B98" t="s">
        <v>11</v>
      </c>
      <c r="C98" t="s">
        <v>16</v>
      </c>
      <c r="D98">
        <v>994</v>
      </c>
      <c r="E98" s="2">
        <f>VLOOKUP(C98,Tabela1[],2,0)*D98</f>
        <v>695800</v>
      </c>
      <c r="F98" t="s">
        <v>17</v>
      </c>
    </row>
    <row r="99" spans="1:6" x14ac:dyDescent="0.35">
      <c r="A99" s="1">
        <v>46047</v>
      </c>
      <c r="B99" t="s">
        <v>8</v>
      </c>
      <c r="C99" t="s">
        <v>13</v>
      </c>
      <c r="D99">
        <v>829</v>
      </c>
      <c r="E99" s="2">
        <f>VLOOKUP(C99,Tabela1[],2,0)*D99</f>
        <v>82900</v>
      </c>
      <c r="F99" t="s">
        <v>17</v>
      </c>
    </row>
    <row r="100" spans="1:6" x14ac:dyDescent="0.35">
      <c r="A100" s="1">
        <v>46093</v>
      </c>
      <c r="B100" t="s">
        <v>10</v>
      </c>
      <c r="C100" t="s">
        <v>13</v>
      </c>
      <c r="D100">
        <v>470</v>
      </c>
      <c r="E100" s="2">
        <f>VLOOKUP(C100,Tabela1[],2,0)*D100</f>
        <v>47000</v>
      </c>
      <c r="F100" t="s">
        <v>17</v>
      </c>
    </row>
    <row r="101" spans="1:6" x14ac:dyDescent="0.35">
      <c r="A101" s="1">
        <v>46093</v>
      </c>
      <c r="B101" t="s">
        <v>9</v>
      </c>
      <c r="C101" t="s">
        <v>13</v>
      </c>
      <c r="D101">
        <v>1180</v>
      </c>
      <c r="E101" s="2">
        <f>VLOOKUP(C101,Tabela1[],2,0)*D101</f>
        <v>118000</v>
      </c>
      <c r="F101" t="s">
        <v>19</v>
      </c>
    </row>
    <row r="102" spans="1:6" x14ac:dyDescent="0.35">
      <c r="A102" s="1">
        <v>46060</v>
      </c>
      <c r="B102" t="s">
        <v>8</v>
      </c>
      <c r="C102" t="s">
        <v>16</v>
      </c>
      <c r="D102">
        <v>879</v>
      </c>
      <c r="E102" s="2">
        <f>VLOOKUP(C102,Tabela1[],2,0)*D102</f>
        <v>615300</v>
      </c>
      <c r="F102" t="s">
        <v>18</v>
      </c>
    </row>
    <row r="103" spans="1:6" x14ac:dyDescent="0.35">
      <c r="A103" s="1">
        <v>46061</v>
      </c>
      <c r="B103" t="s">
        <v>8</v>
      </c>
      <c r="C103" t="s">
        <v>16</v>
      </c>
      <c r="D103">
        <v>644</v>
      </c>
      <c r="E103" s="2">
        <f>VLOOKUP(C103,Tabela1[],2,0)*D103</f>
        <v>450800</v>
      </c>
      <c r="F103" t="s">
        <v>17</v>
      </c>
    </row>
    <row r="104" spans="1:6" x14ac:dyDescent="0.35">
      <c r="A104" s="1">
        <v>46055</v>
      </c>
      <c r="B104" t="s">
        <v>10</v>
      </c>
      <c r="C104" t="s">
        <v>14</v>
      </c>
      <c r="D104">
        <v>852</v>
      </c>
      <c r="E104" s="2">
        <f>VLOOKUP(C104,Tabela1[],2,0)*D104</f>
        <v>340800</v>
      </c>
      <c r="F104" t="s">
        <v>19</v>
      </c>
    </row>
    <row r="105" spans="1:6" x14ac:dyDescent="0.35">
      <c r="A105" s="1">
        <v>46091</v>
      </c>
      <c r="B105" t="s">
        <v>8</v>
      </c>
      <c r="C105" t="s">
        <v>16</v>
      </c>
      <c r="D105">
        <v>1036</v>
      </c>
      <c r="E105" s="2">
        <f>VLOOKUP(C105,Tabela1[],2,0)*D105</f>
        <v>725200</v>
      </c>
      <c r="F105" t="s">
        <v>17</v>
      </c>
    </row>
    <row r="106" spans="1:6" x14ac:dyDescent="0.35">
      <c r="A106" s="1">
        <v>46100</v>
      </c>
      <c r="B106" t="s">
        <v>7</v>
      </c>
      <c r="C106" t="s">
        <v>16</v>
      </c>
      <c r="D106">
        <v>932</v>
      </c>
      <c r="E106" s="2">
        <f>VLOOKUP(C106,Tabela1[],2,0)*D106</f>
        <v>652400</v>
      </c>
      <c r="F106" t="s">
        <v>19</v>
      </c>
    </row>
    <row r="107" spans="1:6" x14ac:dyDescent="0.35">
      <c r="A107" s="1">
        <v>46101</v>
      </c>
      <c r="B107" t="s">
        <v>7</v>
      </c>
      <c r="C107" t="s">
        <v>13</v>
      </c>
      <c r="D107">
        <v>800</v>
      </c>
      <c r="E107" s="2">
        <f>VLOOKUP(C107,Tabela1[],2,0)*D107</f>
        <v>80000</v>
      </c>
      <c r="F107" t="s">
        <v>19</v>
      </c>
    </row>
    <row r="108" spans="1:6" x14ac:dyDescent="0.35">
      <c r="A108" s="1">
        <v>46100</v>
      </c>
      <c r="B108" t="s">
        <v>6</v>
      </c>
      <c r="C108" t="s">
        <v>14</v>
      </c>
      <c r="D108">
        <v>989</v>
      </c>
      <c r="E108" s="2">
        <f>VLOOKUP(C108,Tabela1[],2,0)*D108</f>
        <v>395600</v>
      </c>
      <c r="F108" t="s">
        <v>17</v>
      </c>
    </row>
    <row r="109" spans="1:6" x14ac:dyDescent="0.35">
      <c r="A109" s="1">
        <v>46036</v>
      </c>
      <c r="B109" t="s">
        <v>10</v>
      </c>
      <c r="C109" t="s">
        <v>13</v>
      </c>
      <c r="D109">
        <v>590</v>
      </c>
      <c r="E109" s="2">
        <f>VLOOKUP(C109,Tabela1[],2,0)*D109</f>
        <v>59000</v>
      </c>
      <c r="F109" t="s">
        <v>19</v>
      </c>
    </row>
    <row r="110" spans="1:6" x14ac:dyDescent="0.35">
      <c r="A110" s="1">
        <v>46067</v>
      </c>
      <c r="B110" t="s">
        <v>9</v>
      </c>
      <c r="C110" t="s">
        <v>13</v>
      </c>
      <c r="D110">
        <v>930</v>
      </c>
      <c r="E110" s="2">
        <f>VLOOKUP(C110,Tabela1[],2,0)*D110</f>
        <v>93000</v>
      </c>
      <c r="F110" t="s">
        <v>18</v>
      </c>
    </row>
    <row r="111" spans="1:6" x14ac:dyDescent="0.35">
      <c r="A111" s="1">
        <v>46096</v>
      </c>
      <c r="B111" t="s">
        <v>9</v>
      </c>
      <c r="C111" t="s">
        <v>13</v>
      </c>
      <c r="D111">
        <v>935</v>
      </c>
      <c r="E111" s="2">
        <f>VLOOKUP(C111,Tabela1[],2,0)*D111</f>
        <v>93500</v>
      </c>
      <c r="F111" t="s">
        <v>19</v>
      </c>
    </row>
    <row r="112" spans="1:6" x14ac:dyDescent="0.35">
      <c r="A112" s="1">
        <v>46098</v>
      </c>
      <c r="B112" t="s">
        <v>11</v>
      </c>
      <c r="C112" t="s">
        <v>14</v>
      </c>
      <c r="D112">
        <v>936</v>
      </c>
      <c r="E112" s="2">
        <f>VLOOKUP(C112,Tabela1[],2,0)*D112</f>
        <v>374400</v>
      </c>
      <c r="F112" t="s">
        <v>18</v>
      </c>
    </row>
    <row r="113" spans="1:6" x14ac:dyDescent="0.35">
      <c r="A113" s="1">
        <v>46048</v>
      </c>
      <c r="B113" t="s">
        <v>11</v>
      </c>
      <c r="C113" t="s">
        <v>15</v>
      </c>
      <c r="D113">
        <v>561</v>
      </c>
      <c r="E113" s="2">
        <f>VLOOKUP(C113,Tabela1[],2,0)*D113</f>
        <v>67320</v>
      </c>
      <c r="F113" t="s">
        <v>19</v>
      </c>
    </row>
    <row r="114" spans="1:6" x14ac:dyDescent="0.35">
      <c r="A114" s="1">
        <v>46057</v>
      </c>
      <c r="B114" t="s">
        <v>6</v>
      </c>
      <c r="C114" t="s">
        <v>14</v>
      </c>
      <c r="D114">
        <v>1183</v>
      </c>
      <c r="E114" s="2">
        <f>VLOOKUP(C114,Tabela1[],2,0)*D114</f>
        <v>473200</v>
      </c>
      <c r="F114" t="s">
        <v>19</v>
      </c>
    </row>
    <row r="115" spans="1:6" x14ac:dyDescent="0.35">
      <c r="A115" s="1">
        <v>46045</v>
      </c>
      <c r="B115" t="s">
        <v>6</v>
      </c>
      <c r="C115" t="s">
        <v>13</v>
      </c>
      <c r="D115">
        <v>1075</v>
      </c>
      <c r="E115" s="2">
        <f>VLOOKUP(C115,Tabela1[],2,0)*D115</f>
        <v>107500</v>
      </c>
      <c r="F115" t="s">
        <v>17</v>
      </c>
    </row>
    <row r="116" spans="1:6" x14ac:dyDescent="0.35">
      <c r="A116" s="1">
        <v>46057</v>
      </c>
      <c r="B116" t="s">
        <v>12</v>
      </c>
      <c r="C116" t="s">
        <v>15</v>
      </c>
      <c r="D116">
        <v>559</v>
      </c>
      <c r="E116" s="2">
        <f>VLOOKUP(C116,Tabela1[],2,0)*D116</f>
        <v>67080</v>
      </c>
      <c r="F116" t="s">
        <v>19</v>
      </c>
    </row>
    <row r="117" spans="1:6" x14ac:dyDescent="0.35">
      <c r="A117" s="1">
        <v>46071</v>
      </c>
      <c r="B117" t="s">
        <v>12</v>
      </c>
      <c r="C117" t="s">
        <v>13</v>
      </c>
      <c r="D117">
        <v>1062</v>
      </c>
      <c r="E117" s="2">
        <f>VLOOKUP(C117,Tabela1[],2,0)*D117</f>
        <v>106200</v>
      </c>
      <c r="F117" t="s">
        <v>19</v>
      </c>
    </row>
    <row r="118" spans="1:6" x14ac:dyDescent="0.35">
      <c r="A118" s="1">
        <v>46092</v>
      </c>
      <c r="B118" t="s">
        <v>11</v>
      </c>
      <c r="C118" t="s">
        <v>14</v>
      </c>
      <c r="D118">
        <v>1150</v>
      </c>
      <c r="E118" s="2">
        <f>VLOOKUP(C118,Tabela1[],2,0)*D118</f>
        <v>460000</v>
      </c>
      <c r="F118" t="s">
        <v>19</v>
      </c>
    </row>
    <row r="119" spans="1:6" x14ac:dyDescent="0.35">
      <c r="A119" s="1">
        <v>46063</v>
      </c>
      <c r="B119" t="s">
        <v>8</v>
      </c>
      <c r="C119" t="s">
        <v>13</v>
      </c>
      <c r="D119">
        <v>1138</v>
      </c>
      <c r="E119" s="2">
        <f>VLOOKUP(C119,Tabela1[],2,0)*D119</f>
        <v>113800</v>
      </c>
      <c r="F119" t="s">
        <v>19</v>
      </c>
    </row>
    <row r="120" spans="1:6" x14ac:dyDescent="0.35">
      <c r="A120" s="1">
        <v>46078</v>
      </c>
      <c r="B120" t="s">
        <v>12</v>
      </c>
      <c r="C120" t="s">
        <v>16</v>
      </c>
      <c r="D120">
        <v>1099</v>
      </c>
      <c r="E120" s="2">
        <f>VLOOKUP(C120,Tabela1[],2,0)*D120</f>
        <v>769300</v>
      </c>
      <c r="F120" t="s">
        <v>19</v>
      </c>
    </row>
    <row r="121" spans="1:6" x14ac:dyDescent="0.35">
      <c r="A121" s="1">
        <v>46079</v>
      </c>
      <c r="B121" t="s">
        <v>8</v>
      </c>
      <c r="C121" t="s">
        <v>15</v>
      </c>
      <c r="D121">
        <v>502</v>
      </c>
      <c r="E121" s="2">
        <f>VLOOKUP(C121,Tabela1[],2,0)*D121</f>
        <v>60240</v>
      </c>
      <c r="F121" t="s">
        <v>17</v>
      </c>
    </row>
    <row r="122" spans="1:6" x14ac:dyDescent="0.35">
      <c r="A122" s="1">
        <v>46043</v>
      </c>
      <c r="B122" t="s">
        <v>10</v>
      </c>
      <c r="C122" t="s">
        <v>14</v>
      </c>
      <c r="D122">
        <v>1110</v>
      </c>
      <c r="E122" s="2">
        <f>VLOOKUP(C122,Tabela1[],2,0)*D122</f>
        <v>444000</v>
      </c>
      <c r="F122" t="s">
        <v>19</v>
      </c>
    </row>
    <row r="123" spans="1:6" x14ac:dyDescent="0.35">
      <c r="A123" s="1">
        <v>46071</v>
      </c>
      <c r="B123" t="s">
        <v>8</v>
      </c>
      <c r="C123" t="s">
        <v>13</v>
      </c>
      <c r="D123">
        <v>910</v>
      </c>
      <c r="E123" s="2">
        <f>VLOOKUP(C123,Tabela1[],2,0)*D123</f>
        <v>91000</v>
      </c>
      <c r="F123" t="s">
        <v>18</v>
      </c>
    </row>
    <row r="124" spans="1:6" x14ac:dyDescent="0.35">
      <c r="A124" s="1">
        <v>46083</v>
      </c>
      <c r="B124" t="s">
        <v>10</v>
      </c>
      <c r="C124" t="s">
        <v>15</v>
      </c>
      <c r="D124">
        <v>987</v>
      </c>
      <c r="E124" s="2">
        <f>VLOOKUP(C124,Tabela1[],2,0)*D124</f>
        <v>118440</v>
      </c>
      <c r="F124" t="s">
        <v>17</v>
      </c>
    </row>
    <row r="125" spans="1:6" x14ac:dyDescent="0.35">
      <c r="A125" s="1">
        <v>46058</v>
      </c>
      <c r="B125" t="s">
        <v>12</v>
      </c>
      <c r="C125" t="s">
        <v>15</v>
      </c>
      <c r="D125">
        <v>579</v>
      </c>
      <c r="E125" s="2">
        <f>VLOOKUP(C125,Tabela1[],2,0)*D125</f>
        <v>69480</v>
      </c>
      <c r="F125" t="s">
        <v>17</v>
      </c>
    </row>
    <row r="126" spans="1:6" x14ac:dyDescent="0.35">
      <c r="A126" s="1">
        <v>46034</v>
      </c>
      <c r="B126" t="s">
        <v>7</v>
      </c>
      <c r="C126" t="s">
        <v>14</v>
      </c>
      <c r="D126">
        <v>1191</v>
      </c>
      <c r="E126" s="2">
        <f>VLOOKUP(C126,Tabela1[],2,0)*D126</f>
        <v>476400</v>
      </c>
      <c r="F126" t="s">
        <v>17</v>
      </c>
    </row>
    <row r="127" spans="1:6" x14ac:dyDescent="0.35">
      <c r="A127" s="1">
        <v>46060</v>
      </c>
      <c r="B127" t="s">
        <v>9</v>
      </c>
      <c r="C127" t="s">
        <v>16</v>
      </c>
      <c r="D127">
        <v>497</v>
      </c>
      <c r="E127" s="2">
        <f>VLOOKUP(C127,Tabela1[],2,0)*D127</f>
        <v>347900</v>
      </c>
      <c r="F127" t="s">
        <v>17</v>
      </c>
    </row>
    <row r="128" spans="1:6" x14ac:dyDescent="0.35">
      <c r="A128" s="1">
        <v>46048</v>
      </c>
      <c r="B128" t="s">
        <v>7</v>
      </c>
      <c r="C128" t="s">
        <v>15</v>
      </c>
      <c r="D128">
        <v>1015</v>
      </c>
      <c r="E128" s="2">
        <f>VLOOKUP(C128,Tabela1[],2,0)*D128</f>
        <v>121800</v>
      </c>
      <c r="F128" t="s">
        <v>17</v>
      </c>
    </row>
    <row r="129" spans="1:6" x14ac:dyDescent="0.35">
      <c r="A129" s="1">
        <v>46107</v>
      </c>
      <c r="B129" t="s">
        <v>7</v>
      </c>
      <c r="C129" t="s">
        <v>16</v>
      </c>
      <c r="D129">
        <v>1034</v>
      </c>
      <c r="E129" s="2">
        <f>VLOOKUP(C129,Tabela1[],2,0)*D129</f>
        <v>723800</v>
      </c>
      <c r="F129" t="s">
        <v>19</v>
      </c>
    </row>
    <row r="130" spans="1:6" x14ac:dyDescent="0.35">
      <c r="A130" s="1">
        <v>46065</v>
      </c>
      <c r="B130" t="s">
        <v>8</v>
      </c>
      <c r="C130" t="s">
        <v>15</v>
      </c>
      <c r="D130">
        <v>1084</v>
      </c>
      <c r="E130" s="2">
        <f>VLOOKUP(C130,Tabela1[],2,0)*D130</f>
        <v>130080</v>
      </c>
      <c r="F130" t="s">
        <v>18</v>
      </c>
    </row>
    <row r="131" spans="1:6" x14ac:dyDescent="0.35">
      <c r="A131" s="1">
        <v>46064</v>
      </c>
      <c r="B131" t="s">
        <v>7</v>
      </c>
      <c r="C131" t="s">
        <v>15</v>
      </c>
      <c r="D131">
        <v>983</v>
      </c>
      <c r="E131" s="2">
        <f>VLOOKUP(C131,Tabela1[],2,0)*D131</f>
        <v>117960</v>
      </c>
      <c r="F131" t="s">
        <v>18</v>
      </c>
    </row>
    <row r="132" spans="1:6" x14ac:dyDescent="0.35">
      <c r="A132" s="1">
        <v>46034</v>
      </c>
      <c r="B132" t="s">
        <v>6</v>
      </c>
      <c r="C132" t="s">
        <v>15</v>
      </c>
      <c r="D132">
        <v>531</v>
      </c>
      <c r="E132" s="2">
        <f>VLOOKUP(C132,Tabela1[],2,0)*D132</f>
        <v>63720</v>
      </c>
      <c r="F132" t="s">
        <v>17</v>
      </c>
    </row>
    <row r="133" spans="1:6" x14ac:dyDescent="0.35">
      <c r="A133" s="1">
        <v>46064</v>
      </c>
      <c r="B133" t="s">
        <v>9</v>
      </c>
      <c r="C133" t="s">
        <v>14</v>
      </c>
      <c r="D133">
        <v>939</v>
      </c>
      <c r="E133" s="2">
        <f>VLOOKUP(C133,Tabela1[],2,0)*D133</f>
        <v>375600</v>
      </c>
      <c r="F133" t="s">
        <v>17</v>
      </c>
    </row>
    <row r="134" spans="1:6" x14ac:dyDescent="0.35">
      <c r="A134" s="1">
        <v>46038</v>
      </c>
      <c r="B134" t="s">
        <v>6</v>
      </c>
      <c r="C134" t="s">
        <v>14</v>
      </c>
      <c r="D134">
        <v>1154</v>
      </c>
      <c r="E134" s="2">
        <f>VLOOKUP(C134,Tabela1[],2,0)*D134</f>
        <v>461600</v>
      </c>
      <c r="F134" t="s">
        <v>18</v>
      </c>
    </row>
    <row r="135" spans="1:6" x14ac:dyDescent="0.35">
      <c r="A135" s="1">
        <v>46104</v>
      </c>
      <c r="B135" t="s">
        <v>10</v>
      </c>
      <c r="C135" t="s">
        <v>13</v>
      </c>
      <c r="D135">
        <v>868</v>
      </c>
      <c r="E135" s="2">
        <f>VLOOKUP(C135,Tabela1[],2,0)*D135</f>
        <v>86800</v>
      </c>
      <c r="F135" t="s">
        <v>19</v>
      </c>
    </row>
    <row r="136" spans="1:6" x14ac:dyDescent="0.35">
      <c r="A136" s="1">
        <v>46070</v>
      </c>
      <c r="B136" t="s">
        <v>10</v>
      </c>
      <c r="C136" t="s">
        <v>13</v>
      </c>
      <c r="D136">
        <v>737</v>
      </c>
      <c r="E136" s="2">
        <f>VLOOKUP(C136,Tabela1[],2,0)*D136</f>
        <v>73700</v>
      </c>
      <c r="F136" t="s">
        <v>17</v>
      </c>
    </row>
    <row r="137" spans="1:6" x14ac:dyDescent="0.35">
      <c r="A137" s="1">
        <v>46088</v>
      </c>
      <c r="B137" t="s">
        <v>12</v>
      </c>
      <c r="C137" t="s">
        <v>16</v>
      </c>
      <c r="D137">
        <v>746</v>
      </c>
      <c r="E137" s="2">
        <f>VLOOKUP(C137,Tabela1[],2,0)*D137</f>
        <v>522200</v>
      </c>
      <c r="F137" t="s">
        <v>19</v>
      </c>
    </row>
    <row r="138" spans="1:6" x14ac:dyDescent="0.35">
      <c r="A138" s="1">
        <v>46064</v>
      </c>
      <c r="B138" t="s">
        <v>9</v>
      </c>
      <c r="C138" t="s">
        <v>16</v>
      </c>
      <c r="D138">
        <v>500</v>
      </c>
      <c r="E138" s="2">
        <f>VLOOKUP(C138,Tabela1[],2,0)*D138</f>
        <v>350000</v>
      </c>
      <c r="F138" t="s">
        <v>17</v>
      </c>
    </row>
    <row r="139" spans="1:6" x14ac:dyDescent="0.35">
      <c r="A139" s="1">
        <v>46101</v>
      </c>
      <c r="B139" t="s">
        <v>10</v>
      </c>
      <c r="C139" t="s">
        <v>15</v>
      </c>
      <c r="D139">
        <v>1081</v>
      </c>
      <c r="E139" s="2">
        <f>VLOOKUP(C139,Tabela1[],2,0)*D139</f>
        <v>129720</v>
      </c>
      <c r="F139" t="s">
        <v>19</v>
      </c>
    </row>
    <row r="140" spans="1:6" x14ac:dyDescent="0.35">
      <c r="A140" s="1">
        <v>46049</v>
      </c>
      <c r="B140" t="s">
        <v>8</v>
      </c>
      <c r="C140" t="s">
        <v>15</v>
      </c>
      <c r="D140">
        <v>673</v>
      </c>
      <c r="E140" s="2">
        <f>VLOOKUP(C140,Tabela1[],2,0)*D140</f>
        <v>80760</v>
      </c>
      <c r="F140" t="s">
        <v>18</v>
      </c>
    </row>
    <row r="141" spans="1:6" x14ac:dyDescent="0.35">
      <c r="A141" s="1">
        <v>46084</v>
      </c>
      <c r="B141" t="s">
        <v>10</v>
      </c>
      <c r="C141" t="s">
        <v>13</v>
      </c>
      <c r="D141">
        <v>1102</v>
      </c>
      <c r="E141" s="2">
        <f>VLOOKUP(C141,Tabela1[],2,0)*D141</f>
        <v>110200</v>
      </c>
      <c r="F141" t="s">
        <v>17</v>
      </c>
    </row>
    <row r="142" spans="1:6" x14ac:dyDescent="0.35">
      <c r="A142" s="1">
        <v>46037</v>
      </c>
      <c r="B142" t="s">
        <v>8</v>
      </c>
      <c r="C142" t="s">
        <v>13</v>
      </c>
      <c r="D142">
        <v>494</v>
      </c>
      <c r="E142" s="2">
        <f>VLOOKUP(C142,Tabela1[],2,0)*D142</f>
        <v>49400</v>
      </c>
      <c r="F142" t="s">
        <v>18</v>
      </c>
    </row>
    <row r="143" spans="1:6" x14ac:dyDescent="0.35">
      <c r="A143" s="1">
        <v>46037</v>
      </c>
      <c r="B143" t="s">
        <v>10</v>
      </c>
      <c r="C143" t="s">
        <v>13</v>
      </c>
      <c r="D143">
        <v>1104</v>
      </c>
      <c r="E143" s="2">
        <f>VLOOKUP(C143,Tabela1[],2,0)*D143</f>
        <v>110400</v>
      </c>
      <c r="F143" t="s">
        <v>18</v>
      </c>
    </row>
    <row r="144" spans="1:6" x14ac:dyDescent="0.35">
      <c r="A144" s="1">
        <v>46090</v>
      </c>
      <c r="B144" t="s">
        <v>11</v>
      </c>
      <c r="C144" t="s">
        <v>14</v>
      </c>
      <c r="D144">
        <v>1012</v>
      </c>
      <c r="E144" s="2">
        <f>VLOOKUP(C144,Tabela1[],2,0)*D144</f>
        <v>404800</v>
      </c>
      <c r="F144" t="s">
        <v>17</v>
      </c>
    </row>
    <row r="145" spans="1:6" x14ac:dyDescent="0.35">
      <c r="A145" s="1">
        <v>46104</v>
      </c>
      <c r="B145" t="s">
        <v>7</v>
      </c>
      <c r="C145" t="s">
        <v>16</v>
      </c>
      <c r="D145">
        <v>794</v>
      </c>
      <c r="E145" s="2">
        <f>VLOOKUP(C145,Tabela1[],2,0)*D145</f>
        <v>555800</v>
      </c>
      <c r="F145" t="s">
        <v>19</v>
      </c>
    </row>
    <row r="146" spans="1:6" x14ac:dyDescent="0.35">
      <c r="A146" s="1">
        <v>46062</v>
      </c>
      <c r="B146" t="s">
        <v>7</v>
      </c>
      <c r="C146" t="s">
        <v>16</v>
      </c>
      <c r="D146">
        <v>475</v>
      </c>
      <c r="E146" s="2">
        <f>VLOOKUP(C146,Tabela1[],2,0)*D146</f>
        <v>332500</v>
      </c>
      <c r="F146" t="s">
        <v>18</v>
      </c>
    </row>
    <row r="147" spans="1:6" x14ac:dyDescent="0.35">
      <c r="A147" s="1">
        <v>46060</v>
      </c>
      <c r="B147" t="s">
        <v>8</v>
      </c>
      <c r="C147" t="s">
        <v>13</v>
      </c>
      <c r="D147">
        <v>1060</v>
      </c>
      <c r="E147" s="2">
        <f>VLOOKUP(C147,Tabela1[],2,0)*D147</f>
        <v>106000</v>
      </c>
      <c r="F147" t="s">
        <v>18</v>
      </c>
    </row>
    <row r="148" spans="1:6" x14ac:dyDescent="0.35">
      <c r="A148" s="1">
        <v>46059</v>
      </c>
      <c r="B148" t="s">
        <v>7</v>
      </c>
      <c r="C148" t="s">
        <v>16</v>
      </c>
      <c r="D148">
        <v>886</v>
      </c>
      <c r="E148" s="2">
        <f>VLOOKUP(C148,Tabela1[],2,0)*D148</f>
        <v>620200</v>
      </c>
      <c r="F148" t="s">
        <v>17</v>
      </c>
    </row>
    <row r="149" spans="1:6" x14ac:dyDescent="0.35">
      <c r="A149" s="1">
        <v>46078</v>
      </c>
      <c r="B149" t="s">
        <v>6</v>
      </c>
      <c r="C149" t="s">
        <v>16</v>
      </c>
      <c r="D149">
        <v>539</v>
      </c>
      <c r="E149" s="2">
        <f>VLOOKUP(C149,Tabela1[],2,0)*D149</f>
        <v>377300</v>
      </c>
      <c r="F149" t="s">
        <v>17</v>
      </c>
    </row>
    <row r="150" spans="1:6" x14ac:dyDescent="0.35">
      <c r="A150" s="1">
        <v>46111</v>
      </c>
      <c r="B150" t="s">
        <v>8</v>
      </c>
      <c r="C150" t="s">
        <v>15</v>
      </c>
      <c r="D150">
        <v>1160</v>
      </c>
      <c r="E150" s="2">
        <f>VLOOKUP(C150,Tabela1[],2,0)*D150</f>
        <v>139200</v>
      </c>
      <c r="F150" t="s">
        <v>17</v>
      </c>
    </row>
    <row r="151" spans="1:6" x14ac:dyDescent="0.35">
      <c r="A151" s="1">
        <v>46039</v>
      </c>
      <c r="B151" t="s">
        <v>10</v>
      </c>
      <c r="C151" t="s">
        <v>16</v>
      </c>
      <c r="D151">
        <v>618</v>
      </c>
      <c r="E151" s="2">
        <f>VLOOKUP(C151,Tabela1[],2,0)*D151</f>
        <v>432600</v>
      </c>
      <c r="F151" t="s">
        <v>17</v>
      </c>
    </row>
    <row r="152" spans="1:6" x14ac:dyDescent="0.35">
      <c r="A152" s="1">
        <v>46091</v>
      </c>
      <c r="B152" t="s">
        <v>7</v>
      </c>
      <c r="C152" t="s">
        <v>15</v>
      </c>
      <c r="D152">
        <v>734</v>
      </c>
      <c r="E152" s="2">
        <f>VLOOKUP(C152,Tabela1[],2,0)*D152</f>
        <v>88080</v>
      </c>
      <c r="F152" t="s">
        <v>17</v>
      </c>
    </row>
    <row r="153" spans="1:6" x14ac:dyDescent="0.35">
      <c r="A153" s="1">
        <v>46106</v>
      </c>
      <c r="B153" t="s">
        <v>10</v>
      </c>
      <c r="C153" t="s">
        <v>15</v>
      </c>
      <c r="D153">
        <v>837</v>
      </c>
      <c r="E153" s="2">
        <f>VLOOKUP(C153,Tabela1[],2,0)*D153</f>
        <v>100440</v>
      </c>
      <c r="F153" t="s">
        <v>18</v>
      </c>
    </row>
    <row r="154" spans="1:6" x14ac:dyDescent="0.35">
      <c r="A154" s="1">
        <v>46051</v>
      </c>
      <c r="B154" t="s">
        <v>9</v>
      </c>
      <c r="C154" t="s">
        <v>14</v>
      </c>
      <c r="D154">
        <v>990</v>
      </c>
      <c r="E154" s="2">
        <f>VLOOKUP(C154,Tabela1[],2,0)*D154</f>
        <v>396000</v>
      </c>
      <c r="F154" t="s">
        <v>18</v>
      </c>
    </row>
    <row r="155" spans="1:6" x14ac:dyDescent="0.35">
      <c r="A155" s="1">
        <v>46103</v>
      </c>
      <c r="B155" t="s">
        <v>7</v>
      </c>
      <c r="C155" t="s">
        <v>13</v>
      </c>
      <c r="D155">
        <v>586</v>
      </c>
      <c r="E155" s="2">
        <f>VLOOKUP(C155,Tabela1[],2,0)*D155</f>
        <v>58600</v>
      </c>
      <c r="F155" t="s">
        <v>17</v>
      </c>
    </row>
    <row r="156" spans="1:6" x14ac:dyDescent="0.35">
      <c r="A156" s="1">
        <v>46068</v>
      </c>
      <c r="B156" t="s">
        <v>10</v>
      </c>
      <c r="C156" t="s">
        <v>16</v>
      </c>
      <c r="D156">
        <v>1115</v>
      </c>
      <c r="E156" s="2">
        <f>VLOOKUP(C156,Tabela1[],2,0)*D156</f>
        <v>780500</v>
      </c>
      <c r="F156" t="s">
        <v>17</v>
      </c>
    </row>
    <row r="157" spans="1:6" x14ac:dyDescent="0.35">
      <c r="A157" s="1">
        <v>46046</v>
      </c>
      <c r="B157" t="s">
        <v>12</v>
      </c>
      <c r="C157" t="s">
        <v>13</v>
      </c>
      <c r="D157">
        <v>870</v>
      </c>
      <c r="E157" s="2">
        <f>VLOOKUP(C157,Tabela1[],2,0)*D157</f>
        <v>87000</v>
      </c>
      <c r="F157" t="s">
        <v>19</v>
      </c>
    </row>
    <row r="158" spans="1:6" x14ac:dyDescent="0.35">
      <c r="A158" s="1">
        <v>46090</v>
      </c>
      <c r="B158" t="s">
        <v>10</v>
      </c>
      <c r="C158" t="s">
        <v>13</v>
      </c>
      <c r="D158">
        <v>1000</v>
      </c>
      <c r="E158" s="2">
        <f>VLOOKUP(C158,Tabela1[],2,0)*D158</f>
        <v>100000</v>
      </c>
      <c r="F158" t="s">
        <v>17</v>
      </c>
    </row>
    <row r="159" spans="1:6" x14ac:dyDescent="0.35">
      <c r="A159" s="1">
        <v>46101</v>
      </c>
      <c r="B159" t="s">
        <v>9</v>
      </c>
      <c r="C159" t="s">
        <v>14</v>
      </c>
      <c r="D159">
        <v>512</v>
      </c>
      <c r="E159" s="2">
        <f>VLOOKUP(C159,Tabela1[],2,0)*D159</f>
        <v>204800</v>
      </c>
      <c r="F159" t="s">
        <v>18</v>
      </c>
    </row>
    <row r="160" spans="1:6" x14ac:dyDescent="0.35">
      <c r="A160" s="1">
        <v>46091</v>
      </c>
      <c r="B160" t="s">
        <v>12</v>
      </c>
      <c r="C160" t="s">
        <v>15</v>
      </c>
      <c r="D160">
        <v>448</v>
      </c>
      <c r="E160" s="2">
        <f>VLOOKUP(C160,Tabela1[],2,0)*D160</f>
        <v>53760</v>
      </c>
      <c r="F160" t="s">
        <v>19</v>
      </c>
    </row>
    <row r="161" spans="1:6" x14ac:dyDescent="0.35">
      <c r="A161" s="1">
        <v>46109</v>
      </c>
      <c r="B161" t="s">
        <v>6</v>
      </c>
      <c r="C161" t="s">
        <v>16</v>
      </c>
      <c r="D161">
        <v>529</v>
      </c>
      <c r="E161" s="2">
        <f>VLOOKUP(C161,Tabela1[],2,0)*D161</f>
        <v>370300</v>
      </c>
      <c r="F161" t="s">
        <v>19</v>
      </c>
    </row>
    <row r="162" spans="1:6" x14ac:dyDescent="0.35">
      <c r="A162" s="1">
        <v>46062</v>
      </c>
      <c r="B162" t="s">
        <v>10</v>
      </c>
      <c r="C162" t="s">
        <v>15</v>
      </c>
      <c r="D162">
        <v>820</v>
      </c>
      <c r="E162" s="2">
        <f>VLOOKUP(C162,Tabela1[],2,0)*D162</f>
        <v>98400</v>
      </c>
      <c r="F162" t="s">
        <v>19</v>
      </c>
    </row>
    <row r="163" spans="1:6" x14ac:dyDescent="0.35">
      <c r="A163" s="1">
        <v>46067</v>
      </c>
      <c r="B163" t="s">
        <v>12</v>
      </c>
      <c r="C163" t="s">
        <v>14</v>
      </c>
      <c r="D163">
        <v>1148</v>
      </c>
      <c r="E163" s="2">
        <f>VLOOKUP(C163,Tabela1[],2,0)*D163</f>
        <v>459200</v>
      </c>
      <c r="F163" t="s">
        <v>17</v>
      </c>
    </row>
    <row r="164" spans="1:6" x14ac:dyDescent="0.35">
      <c r="A164" s="1">
        <v>46065</v>
      </c>
      <c r="B164" t="s">
        <v>7</v>
      </c>
      <c r="C164" t="s">
        <v>15</v>
      </c>
      <c r="D164">
        <v>1060</v>
      </c>
      <c r="E164" s="2">
        <f>VLOOKUP(C164,Tabela1[],2,0)*D164</f>
        <v>127200</v>
      </c>
      <c r="F164" t="s">
        <v>17</v>
      </c>
    </row>
    <row r="165" spans="1:6" x14ac:dyDescent="0.35">
      <c r="A165" s="1">
        <v>46041</v>
      </c>
      <c r="B165" t="s">
        <v>7</v>
      </c>
      <c r="C165" t="s">
        <v>14</v>
      </c>
      <c r="D165">
        <v>570</v>
      </c>
      <c r="E165" s="2">
        <f>VLOOKUP(C165,Tabela1[],2,0)*D165</f>
        <v>228000</v>
      </c>
      <c r="F165" t="s">
        <v>18</v>
      </c>
    </row>
    <row r="166" spans="1:6" x14ac:dyDescent="0.35">
      <c r="A166" s="1">
        <v>46073</v>
      </c>
      <c r="B166" t="s">
        <v>9</v>
      </c>
      <c r="C166" t="s">
        <v>13</v>
      </c>
      <c r="D166">
        <v>1059</v>
      </c>
      <c r="E166" s="2">
        <f>VLOOKUP(C166,Tabela1[],2,0)*D166</f>
        <v>105900</v>
      </c>
      <c r="F166" t="s">
        <v>19</v>
      </c>
    </row>
    <row r="167" spans="1:6" x14ac:dyDescent="0.35">
      <c r="A167" s="1">
        <v>46059</v>
      </c>
      <c r="B167" t="s">
        <v>9</v>
      </c>
      <c r="C167" t="s">
        <v>13</v>
      </c>
      <c r="D167">
        <v>1047</v>
      </c>
      <c r="E167" s="2">
        <f>VLOOKUP(C167,Tabela1[],2,0)*D167</f>
        <v>104700</v>
      </c>
      <c r="F167" t="s">
        <v>19</v>
      </c>
    </row>
    <row r="168" spans="1:6" x14ac:dyDescent="0.35">
      <c r="A168" s="1">
        <v>46086</v>
      </c>
      <c r="B168" t="s">
        <v>7</v>
      </c>
      <c r="C168" t="s">
        <v>16</v>
      </c>
      <c r="D168">
        <v>792</v>
      </c>
      <c r="E168" s="2">
        <f>VLOOKUP(C168,Tabela1[],2,0)*D168</f>
        <v>554400</v>
      </c>
      <c r="F168" t="s">
        <v>18</v>
      </c>
    </row>
    <row r="169" spans="1:6" x14ac:dyDescent="0.35">
      <c r="A169" s="1">
        <v>46060</v>
      </c>
      <c r="B169" t="s">
        <v>9</v>
      </c>
      <c r="C169" t="s">
        <v>14</v>
      </c>
      <c r="D169">
        <v>433</v>
      </c>
      <c r="E169" s="2">
        <f>VLOOKUP(C169,Tabela1[],2,0)*D169</f>
        <v>173200</v>
      </c>
      <c r="F169" t="s">
        <v>18</v>
      </c>
    </row>
    <row r="170" spans="1:6" x14ac:dyDescent="0.35">
      <c r="A170" s="1">
        <v>46076</v>
      </c>
      <c r="B170" t="s">
        <v>10</v>
      </c>
      <c r="C170" t="s">
        <v>13</v>
      </c>
      <c r="D170">
        <v>781</v>
      </c>
      <c r="E170" s="2">
        <f>VLOOKUP(C170,Tabela1[],2,0)*D170</f>
        <v>78100</v>
      </c>
      <c r="F170" t="s">
        <v>18</v>
      </c>
    </row>
    <row r="171" spans="1:6" x14ac:dyDescent="0.35">
      <c r="A171" s="1">
        <v>46108</v>
      </c>
      <c r="B171" t="s">
        <v>12</v>
      </c>
      <c r="C171" t="s">
        <v>13</v>
      </c>
      <c r="D171">
        <v>972</v>
      </c>
      <c r="E171" s="2">
        <f>VLOOKUP(C171,Tabela1[],2,0)*D171</f>
        <v>97200</v>
      </c>
      <c r="F171" t="s">
        <v>17</v>
      </c>
    </row>
    <row r="172" spans="1:6" x14ac:dyDescent="0.35">
      <c r="A172" s="1">
        <v>46043</v>
      </c>
      <c r="B172" t="s">
        <v>10</v>
      </c>
      <c r="C172" t="s">
        <v>13</v>
      </c>
      <c r="D172">
        <v>786</v>
      </c>
      <c r="E172" s="2">
        <f>VLOOKUP(C172,Tabela1[],2,0)*D172</f>
        <v>78600</v>
      </c>
      <c r="F172" t="s">
        <v>17</v>
      </c>
    </row>
    <row r="173" spans="1:6" x14ac:dyDescent="0.35">
      <c r="A173" s="1">
        <v>46079</v>
      </c>
      <c r="B173" t="s">
        <v>8</v>
      </c>
      <c r="C173" t="s">
        <v>16</v>
      </c>
      <c r="D173">
        <v>865</v>
      </c>
      <c r="E173" s="2">
        <f>VLOOKUP(C173,Tabela1[],2,0)*D173</f>
        <v>605500</v>
      </c>
      <c r="F173" t="s">
        <v>17</v>
      </c>
    </row>
    <row r="174" spans="1:6" x14ac:dyDescent="0.35">
      <c r="A174" s="1">
        <v>46088</v>
      </c>
      <c r="B174" t="s">
        <v>11</v>
      </c>
      <c r="C174" t="s">
        <v>16</v>
      </c>
      <c r="D174">
        <v>578</v>
      </c>
      <c r="E174" s="2">
        <f>VLOOKUP(C174,Tabela1[],2,0)*D174</f>
        <v>404600</v>
      </c>
      <c r="F174" t="s">
        <v>19</v>
      </c>
    </row>
    <row r="175" spans="1:6" x14ac:dyDescent="0.35">
      <c r="A175" s="1">
        <v>46077</v>
      </c>
      <c r="B175" t="s">
        <v>11</v>
      </c>
      <c r="C175" t="s">
        <v>13</v>
      </c>
      <c r="D175">
        <v>772</v>
      </c>
      <c r="E175" s="2">
        <f>VLOOKUP(C175,Tabela1[],2,0)*D175</f>
        <v>77200</v>
      </c>
      <c r="F175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4C61-9FDE-4A5D-BAAC-4B916634F076}">
  <dimension ref="A1:D8"/>
  <sheetViews>
    <sheetView workbookViewId="0">
      <selection activeCell="C1" activeCellId="1" sqref="A1:A8 C1:C8"/>
    </sheetView>
  </sheetViews>
  <sheetFormatPr defaultRowHeight="14.5" x14ac:dyDescent="0.35"/>
  <cols>
    <col min="1" max="1" width="8.54296875" bestFit="1" customWidth="1"/>
    <col min="2" max="2" width="14.7265625" bestFit="1" customWidth="1"/>
    <col min="3" max="3" width="15.26953125" bestFit="1" customWidth="1"/>
    <col min="4" max="4" width="15.90625" bestFit="1" customWidth="1"/>
  </cols>
  <sheetData>
    <row r="1" spans="1:4" x14ac:dyDescent="0.35">
      <c r="A1" t="s">
        <v>1</v>
      </c>
      <c r="B1" t="s">
        <v>25</v>
      </c>
      <c r="C1" t="s">
        <v>26</v>
      </c>
      <c r="D1" t="s">
        <v>27</v>
      </c>
    </row>
    <row r="2" spans="1:4" x14ac:dyDescent="0.35">
      <c r="A2" t="str" cm="1">
        <f t="array" ref="A2:A8">_xlfn.UNIQUE(Base!B2:B175)</f>
        <v>Roberto</v>
      </c>
      <c r="B2">
        <f>COUNTIF(Base!B:B,A2)</f>
        <v>22</v>
      </c>
      <c r="C2" s="2">
        <f>SUMIF(Base!B:B,A2,Base!E:E)</f>
        <v>6579520</v>
      </c>
      <c r="D2" s="3">
        <f>AVERAGEIF(Base!B:B,A2,Base!D:D)</f>
        <v>906.13636363636363</v>
      </c>
    </row>
    <row r="3" spans="1:4" x14ac:dyDescent="0.35">
      <c r="A3" t="str">
        <v>Adão</v>
      </c>
      <c r="B3">
        <f>COUNTIF(Base!B:B,A3)</f>
        <v>27</v>
      </c>
      <c r="C3" s="2">
        <f>SUMIF(Base!B:B,A3,Base!E:E)</f>
        <v>7796360</v>
      </c>
      <c r="D3" s="3">
        <f>AVERAGEIF(Base!B:B,A3,Base!D:D)</f>
        <v>841.44444444444446</v>
      </c>
    </row>
    <row r="4" spans="1:4" x14ac:dyDescent="0.35">
      <c r="A4" t="str">
        <v>Chaga</v>
      </c>
      <c r="B4">
        <f>COUNTIF(Base!B:B,A4)</f>
        <v>29</v>
      </c>
      <c r="C4" s="2">
        <f>SUMIF(Base!B:B,A4,Base!E:E)</f>
        <v>7658140</v>
      </c>
      <c r="D4" s="3">
        <f>AVERAGEIF(Base!B:B,A4,Base!D:D)</f>
        <v>847.27586206896547</v>
      </c>
    </row>
    <row r="5" spans="1:4" x14ac:dyDescent="0.35">
      <c r="A5" t="str">
        <v>Erisvaldo</v>
      </c>
      <c r="B5">
        <f>COUNTIF(Base!B:B,A5)</f>
        <v>23</v>
      </c>
      <c r="C5" s="2">
        <f>SUMIF(Base!B:B,A5,Base!E:E)</f>
        <v>6091020</v>
      </c>
      <c r="D5" s="3">
        <f>AVERAGEIF(Base!B:B,A5,Base!D:D)</f>
        <v>852.43478260869563</v>
      </c>
    </row>
    <row r="6" spans="1:4" x14ac:dyDescent="0.35">
      <c r="A6" t="str">
        <v>Emanuel</v>
      </c>
      <c r="B6">
        <f>COUNTIF(Base!B:B,A6)</f>
        <v>30</v>
      </c>
      <c r="C6" s="2">
        <f>SUMIF(Base!B:B,A6,Base!E:E)</f>
        <v>7583600</v>
      </c>
      <c r="D6" s="3">
        <f>AVERAGEIF(Base!B:B,A6,Base!D:D)</f>
        <v>863.33333333333337</v>
      </c>
    </row>
    <row r="7" spans="1:4" x14ac:dyDescent="0.35">
      <c r="A7" t="str">
        <v>Julio</v>
      </c>
      <c r="B7">
        <f>COUNTIF(Base!B:B,A7)</f>
        <v>18</v>
      </c>
      <c r="C7" s="2">
        <f>SUMIF(Base!B:B,A7,Base!E:E)</f>
        <v>5933120</v>
      </c>
      <c r="D7" s="3">
        <f>AVERAGEIF(Base!B:B,A7,Base!D:D)</f>
        <v>819.33333333333337</v>
      </c>
    </row>
    <row r="8" spans="1:4" x14ac:dyDescent="0.35">
      <c r="A8" t="str">
        <v>Carlos</v>
      </c>
      <c r="B8">
        <f>COUNTIF(Base!B:B,A8)</f>
        <v>25</v>
      </c>
      <c r="C8" s="2">
        <f>SUMIF(Base!B:B,A8,Base!E:E)</f>
        <v>7096160</v>
      </c>
      <c r="D8" s="3">
        <f>AVERAGEIF(Base!B:B,A8,Base!D:D)</f>
        <v>839.4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050B-83A9-4641-9396-FC0189DB5392}">
  <dimension ref="A3:B8"/>
  <sheetViews>
    <sheetView workbookViewId="0">
      <selection activeCell="D18" sqref="D18"/>
    </sheetView>
  </sheetViews>
  <sheetFormatPr defaultRowHeight="14.5" x14ac:dyDescent="0.35"/>
  <cols>
    <col min="1" max="1" width="17" bestFit="1" customWidth="1"/>
    <col min="2" max="2" width="16.1796875" bestFit="1" customWidth="1"/>
  </cols>
  <sheetData>
    <row r="3" spans="1:2" x14ac:dyDescent="0.35">
      <c r="A3" s="4" t="s">
        <v>28</v>
      </c>
      <c r="B3" s="2" t="s">
        <v>30</v>
      </c>
    </row>
    <row r="4" spans="1:2" x14ac:dyDescent="0.35">
      <c r="A4" s="5" t="s">
        <v>16</v>
      </c>
      <c r="B4" s="2">
        <v>26530700</v>
      </c>
    </row>
    <row r="5" spans="1:2" x14ac:dyDescent="0.35">
      <c r="A5" s="5" t="s">
        <v>14</v>
      </c>
      <c r="B5" s="2">
        <v>14040800</v>
      </c>
    </row>
    <row r="6" spans="1:2" x14ac:dyDescent="0.35">
      <c r="A6" s="5" t="s">
        <v>13</v>
      </c>
      <c r="B6" s="2">
        <v>4444500</v>
      </c>
    </row>
    <row r="7" spans="1:2" x14ac:dyDescent="0.35">
      <c r="A7" s="5" t="s">
        <v>15</v>
      </c>
      <c r="B7" s="2">
        <v>3721920</v>
      </c>
    </row>
    <row r="8" spans="1:2" x14ac:dyDescent="0.35">
      <c r="A8" s="5" t="s">
        <v>29</v>
      </c>
      <c r="B8" s="2">
        <v>48737920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F8BE-AD8E-48AD-B078-D4E4B9D8347B}">
  <dimension ref="A1:D5"/>
  <sheetViews>
    <sheetView showGridLines="0" workbookViewId="0">
      <selection activeCell="F4" sqref="F4"/>
    </sheetView>
  </sheetViews>
  <sheetFormatPr defaultRowHeight="14.5" x14ac:dyDescent="0.35"/>
  <cols>
    <col min="1" max="1" width="21.90625" style="7" bestFit="1" customWidth="1"/>
    <col min="2" max="2" width="27.7265625" style="7" customWidth="1"/>
    <col min="3" max="16384" width="8.7265625" style="7"/>
  </cols>
  <sheetData>
    <row r="1" spans="1:4" ht="50" customHeight="1" x14ac:dyDescent="0.35">
      <c r="A1" s="9" t="s">
        <v>31</v>
      </c>
      <c r="B1" s="12" t="str">
        <f>INDEX(Base!C:C,MATCH(MAX(Base!E:E),Base!E:E,0))</f>
        <v>Campinas</v>
      </c>
    </row>
    <row r="2" spans="1:4" ht="50" customHeight="1" x14ac:dyDescent="0.35">
      <c r="A2" s="15" t="s">
        <v>32</v>
      </c>
      <c r="B2" s="16" t="str">
        <f t="array" ref="B2">INDEX(Base!B2:B1000,MATCH(MAX(COUNTIF(Base!B2:B1000,Base!B2:B1000)),(COUNTIF(Base!B2:B1000,Base!B2:B1000)),0))</f>
        <v>Emanuel</v>
      </c>
    </row>
    <row r="3" spans="1:4" ht="50" customHeight="1" x14ac:dyDescent="0.35">
      <c r="A3" s="10" t="s">
        <v>33</v>
      </c>
      <c r="B3" s="13">
        <f>MAX(Base!E2:E1000)</f>
        <v>823900</v>
      </c>
      <c r="D3" s="8"/>
    </row>
    <row r="4" spans="1:4" ht="50" customHeight="1" x14ac:dyDescent="0.35">
      <c r="A4" s="11" t="s">
        <v>34</v>
      </c>
      <c r="B4" s="14">
        <f>COUNTIF(Base!F2:F1000,"ENTREGUE")/COUNTA(Base!F2:F1000)</f>
        <v>0.35057471264367818</v>
      </c>
    </row>
    <row r="5" spans="1:4" ht="16" customHeight="1" x14ac:dyDescent="0.35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F01C-AC01-4C42-B465-4F99E404F8DC}">
  <dimension ref="A1"/>
  <sheetViews>
    <sheetView zoomScale="85" zoomScaleNormal="85" workbookViewId="0">
      <selection activeCell="O22" sqref="O22"/>
    </sheetView>
  </sheetViews>
  <sheetFormatPr defaultRowHeight="14.5" x14ac:dyDescent="0.35"/>
  <cols>
    <col min="1" max="16384" width="8.7265625" style="6"/>
  </cols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Resumo_Motorista</vt:lpstr>
      <vt:lpstr>Dinâmica</vt:lpstr>
      <vt:lpstr>Painel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damiao</dc:creator>
  <cp:lastModifiedBy>gustavo damiao</cp:lastModifiedBy>
  <dcterms:created xsi:type="dcterms:W3CDTF">2026-05-01T19:09:28Z</dcterms:created>
  <dcterms:modified xsi:type="dcterms:W3CDTF">2026-05-02T16:53:23Z</dcterms:modified>
</cp:coreProperties>
</file>